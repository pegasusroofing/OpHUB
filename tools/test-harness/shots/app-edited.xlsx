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Summary" state="visible" r:id="rId4"/>
    <sheet sheetId="2" name="Main Roof" state="visible" r:id="rId5"/>
    <sheet sheetId="3" name="Variations" state="visible" r:id="rId6"/>
    <sheet sheetId="4" name="Dayworks" state="visible" r:id="rId7"/>
  </sheets>
  <calcPr calcId="171027"/>
</workbook>
</file>

<file path=xl/sharedStrings.xml><?xml version="1.0" encoding="utf-8"?>
<sst xmlns="http://schemas.openxmlformats.org/spreadsheetml/2006/main" count="99" uniqueCount="59">
  <si>
    <t>Company Name</t>
  </si>
  <si>
    <t>RTB Roofing Ltd</t>
  </si>
  <si>
    <t>Client Name</t>
  </si>
  <si>
    <t>Bellway Homes</t>
  </si>
  <si>
    <t>Project Name</t>
  </si>
  <si>
    <t>Studley Rd</t>
  </si>
  <si>
    <t>Project ID</t>
  </si>
  <si>
    <t>J101</t>
  </si>
  <si>
    <t>Valuation Date</t>
  </si>
  <si>
    <t>25 Oct 2026</t>
  </si>
  <si>
    <t>Application No.</t>
  </si>
  <si>
    <t>Client PO</t>
  </si>
  <si>
    <t>General Summary</t>
  </si>
  <si>
    <t>Section</t>
  </si>
  <si>
    <t>Total</t>
  </si>
  <si>
    <t>Applied Total</t>
  </si>
  <si>
    <t>Applied %</t>
  </si>
  <si>
    <t>Certified Total</t>
  </si>
  <si>
    <t>Certified %</t>
  </si>
  <si>
    <t>Main Roof</t>
  </si>
  <si>
    <t>Variations</t>
  </si>
  <si>
    <t>Dayworks</t>
  </si>
  <si>
    <t>SubTotal</t>
  </si>
  <si>
    <t>Less Discount at 0%</t>
  </si>
  <si>
    <t>Retention at 5%</t>
  </si>
  <si>
    <t>Net After Retention</t>
  </si>
  <si>
    <t>Previously Certified (excl VAT)</t>
  </si>
  <si>
    <t>Gross Payment Due</t>
  </si>
  <si>
    <t>VAT (domestic reverse charge — customer to account to HMRC)</t>
  </si>
  <si>
    <t>Net Payment Due</t>
  </si>
  <si>
    <t>Applied = what we are applying for. Certified starts the same — the client changes the Certified % (green) and sends it back.</t>
  </si>
  <si>
    <t>OpHUB Key</t>
  </si>
  <si>
    <t>Ref</t>
  </si>
  <si>
    <t>Description</t>
  </si>
  <si>
    <t>Qty</t>
  </si>
  <si>
    <t>Unit</t>
  </si>
  <si>
    <t>Rate</t>
  </si>
  <si>
    <t>Amount</t>
  </si>
  <si>
    <t>Prev Certified %</t>
  </si>
  <si>
    <t>Prev Certified</t>
  </si>
  <si>
    <t>Applied</t>
  </si>
  <si>
    <t>Certified</t>
  </si>
  <si>
    <t>Difference</t>
  </si>
  <si>
    <t>Notes</t>
  </si>
  <si>
    <t>Include in Summary</t>
  </si>
  <si>
    <t>H:h1</t>
  </si>
  <si>
    <t>L:i1</t>
  </si>
  <si>
    <t>Tiling</t>
  </si>
  <si>
    <t>m2</t>
  </si>
  <si>
    <t>L:i2</t>
  </si>
  <si>
    <t>Ridge</t>
  </si>
  <si>
    <t>m</t>
  </si>
  <si>
    <t/>
  </si>
  <si>
    <t>Lead flashing</t>
  </si>
  <si>
    <t>V:x0</t>
  </si>
  <si>
    <t>V01 Extra flashing</t>
  </si>
  <si>
    <t>item</t>
  </si>
  <si>
    <t>D:0</t>
  </si>
  <si>
    <t>DW01 Storm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</si>
</sst>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;-&quot;£&quot;#,##0.00"/>
  </numFmts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4"/>
      <name val="Calibri"/>
    </font>
    <font>
      <i/>
      <color rgb="FF7A7A7A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F5DC"/>
      </patternFill>
    </fill>
    <fill>
      <patternFill patternType="solid">
        <fgColor rgb="FFFFFFCC"/>
      </patternFill>
    </fill>
    <fill>
      <patternFill patternType="solid">
        <fgColor rgb="FFFFF6DB"/>
      </patternFill>
    </fill>
    <fill>
      <patternFill patternType="solid">
        <fgColor rgb="FFEAF6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10" fontId="0" fillId="3" borderId="1" xfId="0" applyNumberForma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1" fillId="3" borderId="1" xfId="0" applyFont="1" applyFill="1" applyBorder="1"/>
    <xf numFmtId="0" fontId="0" fillId="0" borderId="1" xfId="0" applyBorder="1" applyAlignment="1">
      <alignment vertical="top" wrapText="1"/>
    </xf>
    <xf numFmtId="10" fontId="0" fillId="0" borderId="1" xfId="0" applyNumberFormat="1" applyBorder="1"/>
    <xf numFmtId="10" fontId="0" fillId="4" borderId="1" xfId="0" applyNumberFormat="1" applyFill="1" applyBorder="1"/>
    <xf numFmtId="10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FormatPr customHeight="1"/>
  <cols>
    <col min="1" max="1" width="4" customWidth="1"/>
    <col min="2" max="2" width="36" customWidth="1"/>
    <col min="3" max="4" width="19" customWidth="1"/>
    <col min="5" max="5" width="13" customWidth="1"/>
    <col min="6" max="6" width="19" customWidth="1"/>
    <col min="7" max="7" width="13" customWidth="1"/>
  </cols>
  <sheetData>
    <row r="2" spans="2:3" x14ac:dyDescent="0.25">
      <c r="B2" s="1" t="s">
        <v>0</v>
      </c>
      <c r="C2" t="s">
        <v>1</v>
      </c>
    </row>
    <row r="3" spans="2:3" x14ac:dyDescent="0.25">
      <c r="B3" s="1" t="s">
        <v>2</v>
      </c>
      <c r="C3" t="s">
        <v>3</v>
      </c>
    </row>
    <row r="4" spans="2:3" x14ac:dyDescent="0.25">
      <c r="B4" s="1" t="s">
        <v>4</v>
      </c>
      <c r="C4" t="s">
        <v>5</v>
      </c>
    </row>
    <row r="5" spans="2:3" x14ac:dyDescent="0.25">
      <c r="B5" s="1" t="s">
        <v>6</v>
      </c>
      <c r="C5" t="s">
        <v>7</v>
      </c>
    </row>
    <row r="6" spans="2:3" x14ac:dyDescent="0.25">
      <c r="B6" s="1" t="s">
        <v>8</v>
      </c>
      <c r="C6" t="s">
        <v>9</v>
      </c>
    </row>
    <row r="7" spans="2:3" x14ac:dyDescent="0.25">
      <c r="B7" s="1" t="s">
        <v>10</v>
      </c>
      <c r="C7">
        <v>2</v>
      </c>
    </row>
    <row r="8" spans="2:2" x14ac:dyDescent="0.25">
      <c r="B8" s="1" t="s">
        <v>11</v>
      </c>
    </row>
    <row r="10" spans="2:2" x14ac:dyDescent="0.25">
      <c r="B10" s="2" t="s">
        <v>12</v>
      </c>
    </row>
    <row r="11" spans="2:7" x14ac:dyDescent="0.25"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</row>
    <row r="12" spans="2:7" x14ac:dyDescent="0.25">
      <c r="B12" s="4" t="s">
        <v>19</v>
      </c>
      <c r="C12" s="5">
        <f>IFERROR(SUMIF('Main Roof'!P3:P204,1,'Main Roof'!G3:G204), 0)</f>
        <v>48000</v>
      </c>
      <c r="D12" s="5">
        <f>IFERROR(SUMIF('Main Roof'!P3:P204,1,'Main Roof'!K3:K204), 0)</f>
        <v>18000</v>
      </c>
      <c r="E12" s="6">
        <f>IFERROR(IF(OR(C12=0,ISBLANK(C12)),0,D12/C12), 0)</f>
        <v>0.375</v>
      </c>
      <c r="F12" s="5">
        <f>IFERROR(SUMIF('Main Roof'!P3:P204,1,'Main Roof'!M3:M204), 0)</f>
        <v>18000</v>
      </c>
      <c r="G12" s="6">
        <f>IFERROR(IF(OR(C12=0,ISBLANK(C12)),0,F12/C12), 0)</f>
        <v>0.375</v>
      </c>
    </row>
    <row r="13" spans="2:7" x14ac:dyDescent="0.25">
      <c r="B13" s="4" t="s">
        <v>20</v>
      </c>
      <c r="C13" s="5">
        <f>IFERROR(SUMIF('Variations'!P3:P203,1,'Variations'!G3:G203), 0)</f>
        <v>1000</v>
      </c>
      <c r="D13" s="5">
        <f>IFERROR(SUMIF('Variations'!P3:P203,1,'Variations'!K3:K203), 0)</f>
        <v>1000</v>
      </c>
      <c r="E13" s="6">
        <f>IFERROR(IF(OR(C13=0,ISBLANK(C13)),0,D13/C13), 0)</f>
        <v>1</v>
      </c>
      <c r="F13" s="5">
        <f>IFERROR(SUMIF('Variations'!P3:P203,1,'Variations'!M3:M203), 0)</f>
        <v>1000</v>
      </c>
      <c r="G13" s="6">
        <f>IFERROR(IF(OR(C13=0,ISBLANK(C13)),0,F13/C13), 0)</f>
        <v>1</v>
      </c>
    </row>
    <row r="14" spans="2:7" x14ac:dyDescent="0.25">
      <c r="B14" s="4" t="s">
        <v>21</v>
      </c>
      <c r="C14" s="5">
        <f>IFERROR(SUMIF('Dayworks'!P3:P203,1,'Dayworks'!G3:G203), 0)</f>
        <v>640</v>
      </c>
      <c r="D14" s="5">
        <f>IFERROR(SUMIF('Dayworks'!P3:P203,1,'Dayworks'!K3:K203), 0)</f>
        <v>640</v>
      </c>
      <c r="E14" s="6">
        <f>IFERROR(IF(OR(C14=0,ISBLANK(C14)),0,D14/C14), 0)</f>
        <v>1</v>
      </c>
      <c r="F14" s="5">
        <f>IFERROR(SUMIF('Dayworks'!P3:P203,1,'Dayworks'!M3:M203), 0)</f>
        <v>640</v>
      </c>
      <c r="G14" s="6">
        <f>IFERROR(IF(OR(C14=0,ISBLANK(C14)),0,F14/C14), 0)</f>
        <v>1</v>
      </c>
    </row>
    <row r="16" spans="2:7" x14ac:dyDescent="0.25">
      <c r="B16" s="7" t="s">
        <v>22</v>
      </c>
      <c r="C16" s="8">
        <f>IFERROR(SUM(C12:C14), 0)</f>
        <v>49640</v>
      </c>
      <c r="D16" s="8">
        <f>IFERROR(SUM(D12:D14), 0)</f>
        <v>19640</v>
      </c>
      <c r="E16" s="9"/>
      <c r="F16" s="8">
        <f>IFERROR(SUM(F12:F14), 0)</f>
        <v>19640</v>
      </c>
      <c r="G16" s="9"/>
    </row>
    <row r="17" spans="2:7" x14ac:dyDescent="0.25">
      <c r="B17" s="9" t="s">
        <v>23</v>
      </c>
      <c r="C17" s="9"/>
      <c r="D17" s="10">
        <f>IFERROR(ROUND(D16*0,2), 0)</f>
        <v>0</v>
      </c>
      <c r="E17" s="9"/>
      <c r="F17" s="10">
        <f>IFERROR(ROUND(F16*0,2), 0)</f>
        <v>0</v>
      </c>
      <c r="G17" s="9"/>
    </row>
    <row r="18" spans="2:7" x14ac:dyDescent="0.25">
      <c r="B18" s="9" t="s">
        <v>24</v>
      </c>
      <c r="C18" s="9"/>
      <c r="D18" s="10">
        <f>IFERROR(ROUND((D16-D17)*0.05,2), 0)</f>
        <v>982</v>
      </c>
      <c r="E18" s="9"/>
      <c r="F18" s="10">
        <f>IFERROR(ROUND((F16-F17)*0.05,2), 0)</f>
        <v>982</v>
      </c>
      <c r="G18" s="9"/>
    </row>
    <row r="19" spans="2:7" x14ac:dyDescent="0.25">
      <c r="B19" s="9" t="s">
        <v>25</v>
      </c>
      <c r="C19" s="9"/>
      <c r="D19" s="10">
        <f>IFERROR(D16-D17-D18, 0)</f>
        <v>18658</v>
      </c>
      <c r="E19" s="9"/>
      <c r="F19" s="10">
        <f>IFERROR(F16-F17-F18, 0)</f>
        <v>18658</v>
      </c>
      <c r="G19" s="9"/>
    </row>
    <row r="20" spans="2:7" x14ac:dyDescent="0.25">
      <c r="B20" s="9" t="s">
        <v>26</v>
      </c>
      <c r="C20" s="9"/>
      <c r="D20" s="10">
        <v>0</v>
      </c>
      <c r="E20" s="9"/>
      <c r="F20" s="10">
        <v>0</v>
      </c>
      <c r="G20" s="9"/>
    </row>
    <row r="21" spans="2:7" x14ac:dyDescent="0.25">
      <c r="B21" s="7" t="s">
        <v>27</v>
      </c>
      <c r="C21" s="9"/>
      <c r="D21" s="8">
        <f>IFERROR(D19-D20, 0)</f>
        <v>18658</v>
      </c>
      <c r="E21" s="9"/>
      <c r="F21" s="8">
        <f>IFERROR(F19-F20, 0)</f>
        <v>18658</v>
      </c>
      <c r="G21" s="9"/>
    </row>
    <row r="22" spans="2:7" x14ac:dyDescent="0.25">
      <c r="B22" s="9" t="s">
        <v>28</v>
      </c>
      <c r="C22" s="9"/>
      <c r="D22" s="10">
        <v>0</v>
      </c>
      <c r="E22" s="9"/>
      <c r="F22" s="10">
        <v>0</v>
      </c>
      <c r="G22" s="9"/>
    </row>
    <row r="23" spans="2:7" x14ac:dyDescent="0.25">
      <c r="B23" s="7" t="s">
        <v>29</v>
      </c>
      <c r="C23" s="9"/>
      <c r="D23" s="8">
        <f>IFERROR(D21+D22, 0)</f>
        <v>18658</v>
      </c>
      <c r="E23" s="9"/>
      <c r="F23" s="8">
        <f>IFERROR(F21+F22, 0)</f>
        <v>18658</v>
      </c>
      <c r="G23" s="9"/>
    </row>
    <row r="25" spans="2:2" x14ac:dyDescent="0.25">
      <c r="B25" s="11" t="s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 zoomScale="100" zoomScaleNormal="100">
      <pane ySplit="1" topLeftCell="A2" activePane="bottomLeft" state="frozen"/>
      <selection pane="bottomLeft"/>
    </sheetView>
  </sheetViews>
  <sheetFormatPr customHeight="1"/>
  <cols>
    <col min="1" max="1" width="11" hidden="1" customWidth="1"/>
    <col min="3" max="3" width="46" customWidth="1"/>
    <col min="5" max="5" width="11" customWidth="1"/>
    <col min="6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hidden="1" customWidth="1"/>
  </cols>
  <sheetData>
    <row r="1" spans="1:16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16</v>
      </c>
      <c r="K1" s="3" t="s">
        <v>40</v>
      </c>
      <c r="L1" s="3" t="s">
        <v>18</v>
      </c>
      <c r="M1" s="3" t="s">
        <v>41</v>
      </c>
      <c r="N1" s="3" t="s">
        <v>42</v>
      </c>
      <c r="O1" s="3" t="s">
        <v>43</v>
      </c>
      <c r="P1" s="3" t="s">
        <v>44</v>
      </c>
    </row>
    <row r="2" spans="1:15" x14ac:dyDescent="0.25">
      <c r="A2" t="s">
        <v>45</v>
      </c>
      <c r="B2" s="12" t="s">
        <v>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25">
      <c r="A3" t="s">
        <v>46</v>
      </c>
      <c r="B3" s="9"/>
      <c r="C3" s="13" t="s">
        <v>47</v>
      </c>
      <c r="D3" s="9">
        <v>300</v>
      </c>
      <c r="E3" s="9" t="s">
        <v>48</v>
      </c>
      <c r="F3" s="10">
        <v>120</v>
      </c>
      <c r="G3" s="10">
        <f>IFERROR(D3*F3, 0)</f>
        <v>36000</v>
      </c>
      <c r="H3" s="14">
        <v>0</v>
      </c>
      <c r="I3" s="10">
        <f>IFERROR(G3*H3, 0)</f>
        <v>0</v>
      </c>
      <c r="J3" s="15">
        <v>0.5</v>
      </c>
      <c r="K3" s="10">
        <f>IFERROR(G3*J3, 0)</f>
        <v>18000</v>
      </c>
      <c r="L3" s="16">
        <v>0.5</v>
      </c>
      <c r="M3" s="10">
        <f>IFERROR(G3*L3, 0)</f>
        <v>18000</v>
      </c>
      <c r="N3" s="10">
        <f>IFERROR(M3-K3, 0)</f>
        <v>0</v>
      </c>
      <c r="O3" s="9"/>
      <c r="P3">
        <v>1</v>
      </c>
    </row>
    <row r="4" spans="1:16" x14ac:dyDescent="0.25">
      <c r="A4" t="s">
        <v>49</v>
      </c>
      <c r="B4" s="9"/>
      <c r="C4" s="13" t="s">
        <v>50</v>
      </c>
      <c r="D4" s="9">
        <v>60</v>
      </c>
      <c r="E4" s="9" t="s">
        <v>51</v>
      </c>
      <c r="F4" s="10">
        <v>200</v>
      </c>
      <c r="G4" s="10">
        <f>IFERROR(D4*F4, 0)</f>
        <v>12000</v>
      </c>
      <c r="H4" s="14">
        <v>0</v>
      </c>
      <c r="I4" s="10">
        <f>IFERROR(G4*H4, 0)</f>
        <v>0</v>
      </c>
      <c r="J4" s="15">
        <v>0.1</v>
      </c>
      <c r="K4" s="10">
        <f>IFERROR(G4*J4, 0)</f>
        <v>0</v>
      </c>
      <c r="L4" s="16">
        <v>0</v>
      </c>
      <c r="M4" s="10">
        <f>IFERROR(G4*L4, 0)</f>
        <v>0</v>
      </c>
      <c r="N4" s="10">
        <f>IFERROR(M4-K4, 0)</f>
        <v>0</v>
      </c>
      <c r="O4" s="9"/>
      <c r="P4">
        <v>1</v>
      </c>
    </row>
    <row r="5" spans="1:16" x14ac:dyDescent="0.25">
      <c r="A5" t="s">
        <v>52</v>
      </c>
      <c r="B5" t="s">
        <v>52</v>
      </c>
      <c r="C5" t="s">
        <v>53</v>
      </c>
      <c r="E5" t="s">
        <v>52</v>
      </c>
      <c r="G5">
        <v>500</v>
      </c>
      <c r="H5">
        <v>0</v>
      </c>
      <c r="J5">
        <v>1</v>
      </c>
      <c r="L5">
        <v>1</v>
      </c>
      <c r="O5" t="s">
        <v>52</v>
      </c>
      <c r="P5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1" topLeftCell="A2" activePane="bottomLeft" state="frozen"/>
      <selection pane="bottomLeft"/>
    </sheetView>
  </sheetViews>
  <sheetFormatPr customHeight="1"/>
  <cols>
    <col min="1" max="1" width="11" hidden="1" customWidth="1"/>
    <col min="3" max="3" width="46" customWidth="1"/>
    <col min="5" max="5" width="11" customWidth="1"/>
    <col min="6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hidden="1" customWidth="1"/>
  </cols>
  <sheetData>
    <row r="1" spans="1:16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16</v>
      </c>
      <c r="K1" s="3" t="s">
        <v>40</v>
      </c>
      <c r="L1" s="3" t="s">
        <v>18</v>
      </c>
      <c r="M1" s="3" t="s">
        <v>41</v>
      </c>
      <c r="N1" s="3" t="s">
        <v>42</v>
      </c>
      <c r="O1" s="3" t="s">
        <v>43</v>
      </c>
      <c r="P1" s="3" t="s">
        <v>44</v>
      </c>
    </row>
    <row r="2" spans="2:15" x14ac:dyDescent="0.25">
      <c r="B2" s="12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25">
      <c r="A3" t="s">
        <v>54</v>
      </c>
      <c r="B3" s="9"/>
      <c r="C3" s="13" t="s">
        <v>55</v>
      </c>
      <c r="D3" s="9">
        <v>1</v>
      </c>
      <c r="E3" s="9" t="s">
        <v>56</v>
      </c>
      <c r="F3" s="10">
        <v>1000</v>
      </c>
      <c r="G3" s="10">
        <f>IFERROR(D3*F3, 0)</f>
        <v>1000</v>
      </c>
      <c r="H3" s="14">
        <v>0</v>
      </c>
      <c r="I3" s="10">
        <f>IFERROR(G3*H3, 0)</f>
        <v>0</v>
      </c>
      <c r="J3" s="15">
        <v>1</v>
      </c>
      <c r="K3" s="10">
        <f>IFERROR(G3*J3, 0)</f>
        <v>1000</v>
      </c>
      <c r="L3" s="16">
        <v>1</v>
      </c>
      <c r="M3" s="10">
        <f>IFERROR(G3*L3, 0)</f>
        <v>1000</v>
      </c>
      <c r="N3" s="10">
        <f>IFERROR(M3-K3, 0)</f>
        <v>0</v>
      </c>
      <c r="O3" s="9"/>
      <c r="P3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1" topLeftCell="A2" activePane="bottomLeft" state="frozen"/>
      <selection pane="bottomLeft"/>
    </sheetView>
  </sheetViews>
  <sheetFormatPr customHeight="1"/>
  <cols>
    <col min="1" max="1" width="11" hidden="1" customWidth="1"/>
    <col min="3" max="3" width="46" customWidth="1"/>
    <col min="5" max="5" width="11" customWidth="1"/>
    <col min="6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hidden="1" customWidth="1"/>
  </cols>
  <sheetData>
    <row r="1" spans="1:16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16</v>
      </c>
      <c r="K1" s="3" t="s">
        <v>40</v>
      </c>
      <c r="L1" s="3" t="s">
        <v>18</v>
      </c>
      <c r="M1" s="3" t="s">
        <v>41</v>
      </c>
      <c r="N1" s="3" t="s">
        <v>42</v>
      </c>
      <c r="O1" s="3" t="s">
        <v>43</v>
      </c>
      <c r="P1" s="3" t="s">
        <v>44</v>
      </c>
    </row>
    <row r="2" spans="2:15" x14ac:dyDescent="0.25">
      <c r="B2" s="12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25">
      <c r="A3" t="s">
        <v>57</v>
      </c>
      <c r="B3" s="9"/>
      <c r="C3" s="13" t="s">
        <v>58</v>
      </c>
      <c r="D3" s="9"/>
      <c r="E3" s="9"/>
      <c r="F3" s="10"/>
      <c r="G3" s="10">
        <v>640</v>
      </c>
      <c r="H3" s="14">
        <v>0</v>
      </c>
      <c r="I3" s="10">
        <f>IFERROR(G3*H3, 0)</f>
        <v>0</v>
      </c>
      <c r="J3" s="15">
        <v>1</v>
      </c>
      <c r="K3" s="10">
        <f>IFERROR(G3*J3, 0)</f>
        <v>640</v>
      </c>
      <c r="L3" s="16">
        <v>1</v>
      </c>
      <c r="M3" s="10">
        <f>IFERROR(G3*L3, 0)</f>
        <v>640</v>
      </c>
      <c r="N3" s="10">
        <f>IFERROR(M3-K3, 0)</f>
        <v>0</v>
      </c>
      <c r="O3" s="9"/>
      <c r="P3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A52FAFAC9634594E33E7C73BEB037" ma:contentTypeVersion="14" ma:contentTypeDescription="Create a new document." ma:contentTypeScope="" ma:versionID="151138dee78d27da704c8094f1c1c55a">
  <xsd:schema xmlns:xsd="http://www.w3.org/2001/XMLSchema" xmlns:xs="http://www.w3.org/2001/XMLSchema" xmlns:p="http://schemas.microsoft.com/office/2006/metadata/properties" xmlns:ns2="380b2f0c-5f34-47de-bfdf-4cd5ba4701d4" xmlns:ns3="bb592cf4-19d5-42a6-b628-2f1779fb71a7" targetNamespace="http://schemas.microsoft.com/office/2006/metadata/properties" ma:root="true" ma:fieldsID="62b92b546310eb5583fc5adf99d9606b" ns2:_="" ns3:_="">
    <xsd:import namespace="380b2f0c-5f34-47de-bfdf-4cd5ba4701d4"/>
    <xsd:import namespace="bb592cf4-19d5-42a6-b628-2f1779fb71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b2f0c-5f34-47de-bfdf-4cd5ba470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e138bd8-2bfb-4e3c-b612-2327ee655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92cf4-19d5-42a6-b628-2f1779fb71a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0a61d8-9820-4d0f-93f9-08aab0f566c1}" ma:internalName="TaxCatchAll" ma:showField="CatchAllData" ma:web="bb592cf4-19d5-42a6-b628-2f1779fb7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92cf4-19d5-42a6-b628-2f1779fb71a7" xsi:nil="true"/>
    <lcf76f155ced4ddcb4097134ff3c332f xmlns="380b2f0c-5f34-47de-bfdf-4cd5ba4701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3830FD-A639-40FA-9158-B250A16F2BEB}"/>
</file>

<file path=customXml/itemProps2.xml><?xml version="1.0" encoding="utf-8"?>
<ds:datastoreItem xmlns:ds="http://schemas.openxmlformats.org/officeDocument/2006/customXml" ds:itemID="{CBF7D247-B01F-42BF-9B49-0F91A8965F9E}"/>
</file>

<file path=customXml/itemProps3.xml><?xml version="1.0" encoding="utf-8"?>
<ds:datastoreItem xmlns:ds="http://schemas.openxmlformats.org/officeDocument/2006/customXml" ds:itemID="{2BE46CFC-9826-4342-A943-E2F216DDA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Summary</vt:lpstr>
      <vt:lpstr>Main Roof</vt:lpstr>
      <vt:lpstr>Variations</vt:lpstr>
      <vt:lpstr>Dayworks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2026-10-29T19:56:18Z</dcterms:created>
  <dcterms:modified xsi:type="dcterms:W3CDTF">2026-10-29T19:56:18Z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0x010100534A52FAFAC9634594E33E7C73BEB037</vt:lpwstr>
  </property>
</Properties>
</file>