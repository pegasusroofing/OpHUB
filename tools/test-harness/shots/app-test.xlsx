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neral Summary" sheetId="1" r:id="rId1"/>
    <sheet name="Main Roof" sheetId="2" r:id="rId2"/>
    <sheet name="Variations" sheetId="3" r:id="rId3"/>
    <sheet name="Dayworks" sheetId="4" r:id="rId4"/>
  </sheets>
  <calcPr fullCalcOnLoad="1"/>
</workbook>
</file>

<file path=xl/styles.xml><?xml version="1.0" encoding="utf-8"?>
<styleSheet xmlns="http://schemas.openxmlformats.org/spreadsheetml/2006/main">
  <numFmts count="1">
    <numFmt numFmtId="164" formatCode="&quot;£&quot;#,##0.00;-&quot;£&quot;#,##0.00"/>
  </numFmts>
  <fonts count="4">
    <font>
      <sz val="11"/>
      <name val="Calibri"/>
    </font>
    <font>
      <b/>
      <sz val="14"/>
      <name val="Calibri"/>
    </font>
    <font>
      <b/>
      <sz val="11"/>
      <name val="Calibri"/>
    </font>
    <font>
      <i/>
      <sz val="9"/>
      <color rgb="FF7A7A7A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4E9F0"/>
      </patternFill>
    </fill>
    <fill>
      <patternFill patternType="solid">
        <fgColor rgb="FFF5F5DC"/>
      </patternFill>
    </fill>
    <fill>
      <patternFill patternType="solid">
        <fgColor rgb="FFFFFFCC"/>
      </patternFill>
    </fill>
    <fill>
      <patternFill patternType="solid">
        <fgColor rgb="FFE6F3FF"/>
      </patternFill>
    </fill>
    <fill>
      <patternFill patternType="solid">
        <fgColor rgb="FFFFF6DB"/>
      </patternFill>
    </fill>
    <fill>
      <patternFill patternType="solid">
        <fgColor rgb="FFEAF6EE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/>
  </cellStyleXfs>
  <cellXfs count="22">
    <xf/>
    <xf fontId="1" applyFont="1"/>
    <xf fontId="2" fillId="2" applyFont="1" applyFill="1"/>
    <xf fontId="2" applyFont="1"/>
    <xf numFmtId="164" applyNumberFormat="1"/>
    <xf fontId="3" applyFont="1"/>
    <xf fontId="2" fillId="3" borderId="1" applyFont="1" applyFill="1" applyBorder="1" applyAlignment="1">
      <alignment vertical="center" wrapText="1"/>
    </xf>
    <xf borderId="1" applyBorder="1"/>
    <xf borderId="1" applyBorder="1" applyAlignment="1">
      <alignment vertical="top" wrapText="1"/>
    </xf>
    <xf numFmtId="164" borderId="1" applyNumberFormat="1" applyBorder="1"/>
    <xf numFmtId="10" borderId="1" applyNumberFormat="1" applyBorder="1"/>
    <xf numFmtId="10" fillId="6" borderId="1" applyNumberFormat="1" applyFill="1" applyBorder="1"/>
    <xf numFmtId="10" fillId="7" borderId="1" applyNumberFormat="1" applyFill="1" applyBorder="1"/>
    <xf fontId="2" fillId="4" borderId="1" applyFont="1" applyFill="1" applyBorder="1"/>
    <xf fillId="4" borderId="1" applyFill="1" applyBorder="1"/>
    <xf numFmtId="164" fillId="4" borderId="1" applyNumberFormat="1" applyFill="1" applyBorder="1"/>
    <xf numFmtId="10" fillId="4" borderId="1" applyNumberFormat="1" applyFill="1" applyBorder="1"/>
    <xf fontId="2" fillId="5" borderId="1" applyFont="1" applyFill="1" applyBorder="1"/>
    <xf fillId="5" borderId="1" applyFill="1" applyBorder="1"/>
    <xf fontId="2" borderId="1" applyFont="1" applyBorder="1"/>
    <xf fontId="2" numFmtId="164" borderId="1" applyFont="1" applyNumberFormat="1" applyBorder="1"/>
    <xf fontId="1" applyFont="1"/>
  </cellXf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cols>
    <col min="1" max="1" width="4" customWidth="1"/>
    <col min="2" max="2" width="36" customWidth="1"/>
    <col min="3" max="3" width="19" customWidth="1"/>
    <col min="4" max="4" width="19" customWidth="1"/>
    <col min="5" max="5" width="13" customWidth="1"/>
    <col min="6" max="6" width="19" customWidth="1"/>
    <col min="7" max="7" width="13" customWidth="1"/>
  </cols>
  <sheetData>
    <row r="1"/>
    <row r="2">
      <c r="B2" s="3" t="inlineStr">
        <is>
          <t xml:space="preserve">Company Name</t>
        </is>
      </c>
      <c r="C2" t="inlineStr">
        <is>
          <t xml:space="preserve">RTB Roofing Ltd</t>
        </is>
      </c>
    </row>
    <row r="3">
      <c r="B3" s="3" t="inlineStr">
        <is>
          <t xml:space="preserve">Client Name</t>
        </is>
      </c>
      <c r="C3" t="inlineStr">
        <is>
          <t xml:space="preserve">Bellway Homes</t>
        </is>
      </c>
    </row>
    <row r="4">
      <c r="B4" s="3" t="inlineStr">
        <is>
          <t xml:space="preserve">Project Name</t>
        </is>
      </c>
      <c r="C4" t="inlineStr">
        <is>
          <t xml:space="preserve">Studley Rd</t>
        </is>
      </c>
    </row>
    <row r="5">
      <c r="B5" s="3" t="inlineStr">
        <is>
          <t xml:space="preserve">Project ID</t>
        </is>
      </c>
      <c r="C5" t="inlineStr">
        <is>
          <t xml:space="preserve">J101</t>
        </is>
      </c>
    </row>
    <row r="6">
      <c r="B6" s="3" t="inlineStr">
        <is>
          <t xml:space="preserve">Valuation Date</t>
        </is>
      </c>
      <c r="C6" t="inlineStr">
        <is>
          <t xml:space="preserve">25 Oct 2026</t>
        </is>
      </c>
    </row>
    <row r="7">
      <c r="B7" s="3" t="inlineStr">
        <is>
          <t xml:space="preserve">Application No.</t>
        </is>
      </c>
      <c r="C7">
        <v>2</v>
      </c>
    </row>
    <row r="8">
      <c r="B8" s="3" t="inlineStr">
        <is>
          <t xml:space="preserve">Client PO</t>
        </is>
      </c>
    </row>
    <row r="9"/>
    <row r="10">
      <c r="B10" s="21" t="inlineStr">
        <is>
          <t xml:space="preserve">General Summary</t>
        </is>
      </c>
    </row>
    <row r="11">
      <c r="B11" s="6" t="inlineStr">
        <is>
          <t xml:space="preserve">Section</t>
        </is>
      </c>
      <c r="C11" s="6" t="inlineStr">
        <is>
          <t xml:space="preserve">Total</t>
        </is>
      </c>
      <c r="D11" s="6" t="inlineStr">
        <is>
          <t xml:space="preserve">Applied Total</t>
        </is>
      </c>
      <c r="E11" s="6" t="inlineStr">
        <is>
          <t xml:space="preserve">Applied %</t>
        </is>
      </c>
      <c r="F11" s="6" t="inlineStr">
        <is>
          <t xml:space="preserve">Certified Total</t>
        </is>
      </c>
      <c r="G11" s="6" t="inlineStr">
        <is>
          <t xml:space="preserve">Certified %</t>
        </is>
      </c>
    </row>
    <row r="12">
      <c r="B12" s="14" t="inlineStr">
        <is>
          <t xml:space="preserve">Main Roof</t>
        </is>
      </c>
      <c r="C12" s="15">
        <f>IFERROR(SUMIF('Main Roof'!P3:P204,1,'Main Roof'!G3:G204), 0)</f>
        <v>48000</v>
      </c>
      <c r="D12" s="15">
        <f>IFERROR(SUMIF('Main Roof'!P3:P204,1,'Main Roof'!K3:K204), 0)</f>
        <v>18000</v>
      </c>
      <c r="E12" s="16">
        <f>IFERROR(IF(OR(C12=0,ISBLANK(C12)),0,D12/C12), 0)</f>
        <v>0.375</v>
      </c>
      <c r="F12" s="15">
        <f>IFERROR(SUMIF('Main Roof'!P3:P204,1,'Main Roof'!M3:M204), 0)</f>
        <v>18000</v>
      </c>
      <c r="G12" s="16">
        <f>IFERROR(IF(OR(C12=0,ISBLANK(C12)),0,F12/C12), 0)</f>
        <v>0.375</v>
      </c>
    </row>
    <row r="13">
      <c r="B13" s="14" t="inlineStr">
        <is>
          <t xml:space="preserve">Variations</t>
        </is>
      </c>
      <c r="C13" s="15">
        <f>IFERROR(SUMIF('Variations'!P3:P203,1,'Variations'!G3:G203), 0)</f>
        <v>1000</v>
      </c>
      <c r="D13" s="15">
        <f>IFERROR(SUMIF('Variations'!P3:P203,1,'Variations'!K3:K203), 0)</f>
        <v>1000</v>
      </c>
      <c r="E13" s="16">
        <f>IFERROR(IF(OR(C13=0,ISBLANK(C13)),0,D13/C13), 0)</f>
        <v>1</v>
      </c>
      <c r="F13" s="15">
        <f>IFERROR(SUMIF('Variations'!P3:P203,1,'Variations'!M3:M203), 0)</f>
        <v>1000</v>
      </c>
      <c r="G13" s="16">
        <f>IFERROR(IF(OR(C13=0,ISBLANK(C13)),0,F13/C13), 0)</f>
        <v>1</v>
      </c>
    </row>
    <row r="14">
      <c r="B14" s="14" t="inlineStr">
        <is>
          <t xml:space="preserve">Dayworks</t>
        </is>
      </c>
      <c r="C14" s="15">
        <f>IFERROR(SUMIF('Dayworks'!P3:P203,1,'Dayworks'!G3:G203), 0)</f>
        <v>640</v>
      </c>
      <c r="D14" s="15">
        <f>IFERROR(SUMIF('Dayworks'!P3:P203,1,'Dayworks'!K3:K203), 0)</f>
        <v>640</v>
      </c>
      <c r="E14" s="16">
        <f>IFERROR(IF(OR(C14=0,ISBLANK(C14)),0,D14/C14), 0)</f>
        <v>1</v>
      </c>
      <c r="F14" s="15">
        <f>IFERROR(SUMIF('Dayworks'!P3:P203,1,'Dayworks'!M3:M203), 0)</f>
        <v>640</v>
      </c>
      <c r="G14" s="16">
        <f>IFERROR(IF(OR(C14=0,ISBLANK(C14)),0,F14/C14), 0)</f>
        <v>1</v>
      </c>
    </row>
    <row r="15"/>
    <row r="16">
      <c r="B16" s="19" t="inlineStr">
        <is>
          <t xml:space="preserve">SubTotal</t>
        </is>
      </c>
      <c r="C16" s="20">
        <f>IFERROR(SUM(C12:C14), 0)</f>
        <v>49640</v>
      </c>
      <c r="D16" s="20">
        <f>IFERROR(SUM(D12:D14), 0)</f>
        <v>19640</v>
      </c>
      <c r="E16" s="7"/>
      <c r="F16" s="20">
        <f>IFERROR(SUM(F12:F14), 0)</f>
        <v>19640</v>
      </c>
      <c r="G16" s="7"/>
    </row>
    <row r="17">
      <c r="B17" s="7" t="inlineStr">
        <is>
          <t xml:space="preserve">Less Discount at 0%</t>
        </is>
      </c>
      <c r="C17" s="7"/>
      <c r="D17" s="9">
        <f>IFERROR(ROUND(D16*0,2), 0)</f>
        <v>0</v>
      </c>
      <c r="E17" s="7"/>
      <c r="F17" s="9">
        <f>IFERROR(ROUND(F16*0,2), 0)</f>
        <v>0</v>
      </c>
      <c r="G17" s="7"/>
    </row>
    <row r="18">
      <c r="B18" s="7" t="inlineStr">
        <is>
          <t xml:space="preserve">Retention at 5%</t>
        </is>
      </c>
      <c r="C18" s="7"/>
      <c r="D18" s="9">
        <f>IFERROR(ROUND((D16-D17)*0.05,2), 0)</f>
        <v>982</v>
      </c>
      <c r="E18" s="7"/>
      <c r="F18" s="9">
        <f>IFERROR(ROUND((F16-F17)*0.05,2), 0)</f>
        <v>982</v>
      </c>
      <c r="G18" s="7"/>
    </row>
    <row r="19">
      <c r="B19" s="7" t="inlineStr">
        <is>
          <t xml:space="preserve">Net After Retention</t>
        </is>
      </c>
      <c r="C19" s="7"/>
      <c r="D19" s="9">
        <f>IFERROR(D16-D17-D18, 0)</f>
        <v>18658</v>
      </c>
      <c r="E19" s="7"/>
      <c r="F19" s="9">
        <f>IFERROR(F16-F17-F18, 0)</f>
        <v>18658</v>
      </c>
      <c r="G19" s="7"/>
    </row>
    <row r="20">
      <c r="B20" s="7" t="inlineStr">
        <is>
          <t xml:space="preserve">Previously Certified (excl VAT)</t>
        </is>
      </c>
      <c r="C20" s="7"/>
      <c r="D20" s="9">
        <v>0</v>
      </c>
      <c r="E20" s="7"/>
      <c r="F20" s="9">
        <v>0</v>
      </c>
      <c r="G20" s="7"/>
    </row>
    <row r="21">
      <c r="B21" s="19" t="inlineStr">
        <is>
          <t xml:space="preserve">Gross Payment Due</t>
        </is>
      </c>
      <c r="C21" s="7"/>
      <c r="D21" s="20">
        <f>IFERROR(D19-D20, 0)</f>
        <v>18658</v>
      </c>
      <c r="E21" s="7"/>
      <c r="F21" s="20">
        <f>IFERROR(F19-F20, 0)</f>
        <v>18658</v>
      </c>
      <c r="G21" s="7"/>
    </row>
    <row r="22">
      <c r="B22" s="7" t="inlineStr">
        <is>
          <t xml:space="preserve">VAT (domestic reverse charge — customer to account to HMRC)</t>
        </is>
      </c>
      <c r="C22" s="7"/>
      <c r="D22" s="9">
        <v>0</v>
      </c>
      <c r="E22" s="7"/>
      <c r="F22" s="9">
        <v>0</v>
      </c>
      <c r="G22" s="7"/>
    </row>
    <row r="23">
      <c r="B23" s="19" t="inlineStr">
        <is>
          <t xml:space="preserve">Net Payment Due</t>
        </is>
      </c>
      <c r="C23" s="7"/>
      <c r="D23" s="20">
        <f>IFERROR(D21+D22, 0)</f>
        <v>18658</v>
      </c>
      <c r="E23" s="7"/>
      <c r="F23" s="20">
        <f>IFERROR(F21+F22, 0)</f>
        <v>18658</v>
      </c>
      <c r="G23" s="7"/>
    </row>
    <row r="24"/>
    <row r="25">
      <c r="B25" s="5" t="inlineStr">
        <is>
          <t xml:space="preserve">Applied = what we are applying for. Certified starts the same — the client changes the Certified % (green) and sends it back.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1" customWidth="1" hidden="1"/>
    <col min="2" max="2" width="9" customWidth="1"/>
    <col min="3" max="3" width="46" customWidth="1"/>
    <col min="4" max="4" width="9" customWidth="1"/>
    <col min="5" max="5" width="11" customWidth="1"/>
    <col min="6" max="6" width="15" customWidth="1"/>
    <col min="7" max="7" width="15" customWidth="1"/>
    <col min="8" max="8" width="16" customWidth="1"/>
    <col min="9" max="9" width="15" customWidth="1"/>
    <col min="10" max="10" width="12" customWidth="1"/>
    <col min="11" max="11" width="15" customWidth="1"/>
    <col min="12" max="12" width="12" customWidth="1"/>
    <col min="13" max="13" width="15" customWidth="1"/>
    <col min="14" max="14" width="14" customWidth="1"/>
    <col min="15" max="15" width="21" customWidth="1"/>
    <col min="16" max="16" width="11" customWidth="1" hidden="1"/>
  </cols>
  <sheetData>
    <row r="1">
      <c r="A1" s="6" t="inlineStr">
        <is>
          <t xml:space="preserve">OpHUB Key</t>
        </is>
      </c>
      <c r="B1" s="6" t="inlineStr">
        <is>
          <t xml:space="preserve">Ref</t>
        </is>
      </c>
      <c r="C1" s="6" t="inlineStr">
        <is>
          <t xml:space="preserve">Description</t>
        </is>
      </c>
      <c r="D1" s="6" t="inlineStr">
        <is>
          <t xml:space="preserve">Qty</t>
        </is>
      </c>
      <c r="E1" s="6" t="inlineStr">
        <is>
          <t xml:space="preserve">Unit</t>
        </is>
      </c>
      <c r="F1" s="6" t="inlineStr">
        <is>
          <t xml:space="preserve">Rate</t>
        </is>
      </c>
      <c r="G1" s="6" t="inlineStr">
        <is>
          <t xml:space="preserve">Amount</t>
        </is>
      </c>
      <c r="H1" s="6" t="inlineStr">
        <is>
          <t xml:space="preserve">Prev Certified %</t>
        </is>
      </c>
      <c r="I1" s="6" t="inlineStr">
        <is>
          <t xml:space="preserve">Prev Certified</t>
        </is>
      </c>
      <c r="J1" s="6" t="inlineStr">
        <is>
          <t xml:space="preserve">Applied %</t>
        </is>
      </c>
      <c r="K1" s="6" t="inlineStr">
        <is>
          <t xml:space="preserve">Applied</t>
        </is>
      </c>
      <c r="L1" s="6" t="inlineStr">
        <is>
          <t xml:space="preserve">Certified %</t>
        </is>
      </c>
      <c r="M1" s="6" t="inlineStr">
        <is>
          <t xml:space="preserve">Certified</t>
        </is>
      </c>
      <c r="N1" s="6" t="inlineStr">
        <is>
          <t xml:space="preserve">Difference</t>
        </is>
      </c>
      <c r="O1" s="6" t="inlineStr">
        <is>
          <t xml:space="preserve">Notes</t>
        </is>
      </c>
      <c r="P1" s="6" t="inlineStr">
        <is>
          <t xml:space="preserve">Include in Summary</t>
        </is>
      </c>
    </row>
    <row r="2">
      <c r="A2" t="inlineStr">
        <is>
          <t xml:space="preserve">H:h1</t>
        </is>
      </c>
      <c r="B2" s="13" t="inlineStr">
        <is>
          <t xml:space="preserve">Main Roof</t>
        </is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>
      <c r="A3" t="inlineStr">
        <is>
          <t xml:space="preserve">L:i1</t>
        </is>
      </c>
      <c r="B3" s="7"/>
      <c r="C3" s="8" t="inlineStr">
        <is>
          <t xml:space="preserve">Tiling</t>
        </is>
      </c>
      <c r="D3" s="7">
        <v>300</v>
      </c>
      <c r="E3" s="7" t="inlineStr">
        <is>
          <t xml:space="preserve">m2</t>
        </is>
      </c>
      <c r="F3" s="9">
        <v>120</v>
      </c>
      <c r="G3" s="9">
        <f>IFERROR(D3*F3, 0)</f>
        <v>36000</v>
      </c>
      <c r="H3" s="10">
        <v>0</v>
      </c>
      <c r="I3" s="9">
        <f>IFERROR(G3*H3, 0)</f>
        <v>0</v>
      </c>
      <c r="J3" s="11">
        <v>0.5</v>
      </c>
      <c r="K3" s="9">
        <f>IFERROR(G3*J3, 0)</f>
        <v>18000</v>
      </c>
      <c r="L3" s="12">
        <v>0.5</v>
      </c>
      <c r="M3" s="9">
        <f>IFERROR(G3*L3, 0)</f>
        <v>18000</v>
      </c>
      <c r="N3" s="9">
        <f>IFERROR(M3-K3, 0)</f>
        <v>0</v>
      </c>
      <c r="O3" s="7"/>
      <c r="P3">
        <v>1</v>
      </c>
    </row>
    <row r="4">
      <c r="A4" t="inlineStr">
        <is>
          <t xml:space="preserve">L:i2</t>
        </is>
      </c>
      <c r="B4" s="7"/>
      <c r="C4" s="8" t="inlineStr">
        <is>
          <t xml:space="preserve">Ridge</t>
        </is>
      </c>
      <c r="D4" s="7">
        <v>60</v>
      </c>
      <c r="E4" s="7" t="inlineStr">
        <is>
          <t xml:space="preserve">m</t>
        </is>
      </c>
      <c r="F4" s="9">
        <v>200</v>
      </c>
      <c r="G4" s="9">
        <f>IFERROR(D4*F4, 0)</f>
        <v>12000</v>
      </c>
      <c r="H4" s="10">
        <v>0</v>
      </c>
      <c r="I4" s="9">
        <f>IFERROR(G4*H4, 0)</f>
        <v>0</v>
      </c>
      <c r="J4" s="11">
        <v>0</v>
      </c>
      <c r="K4" s="9">
        <f>IFERROR(G4*J4, 0)</f>
        <v>0</v>
      </c>
      <c r="L4" s="12">
        <v>0</v>
      </c>
      <c r="M4" s="9">
        <f>IFERROR(G4*L4, 0)</f>
        <v>0</v>
      </c>
      <c r="N4" s="9">
        <f>IFERROR(M4-K4, 0)</f>
        <v>0</v>
      </c>
      <c r="O4" s="7"/>
      <c r="P4">
        <v>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1" customWidth="1" hidden="1"/>
    <col min="2" max="2" width="9" customWidth="1"/>
    <col min="3" max="3" width="46" customWidth="1"/>
    <col min="4" max="4" width="9" customWidth="1"/>
    <col min="5" max="5" width="11" customWidth="1"/>
    <col min="6" max="6" width="15" customWidth="1"/>
    <col min="7" max="7" width="15" customWidth="1"/>
    <col min="8" max="8" width="16" customWidth="1"/>
    <col min="9" max="9" width="15" customWidth="1"/>
    <col min="10" max="10" width="12" customWidth="1"/>
    <col min="11" max="11" width="15" customWidth="1"/>
    <col min="12" max="12" width="12" customWidth="1"/>
    <col min="13" max="13" width="15" customWidth="1"/>
    <col min="14" max="14" width="14" customWidth="1"/>
    <col min="15" max="15" width="21" customWidth="1"/>
    <col min="16" max="16" width="11" customWidth="1" hidden="1"/>
  </cols>
  <sheetData>
    <row r="1">
      <c r="A1" s="6" t="inlineStr">
        <is>
          <t xml:space="preserve">OpHUB Key</t>
        </is>
      </c>
      <c r="B1" s="6" t="inlineStr">
        <is>
          <t xml:space="preserve">Ref</t>
        </is>
      </c>
      <c r="C1" s="6" t="inlineStr">
        <is>
          <t xml:space="preserve">Description</t>
        </is>
      </c>
      <c r="D1" s="6" t="inlineStr">
        <is>
          <t xml:space="preserve">Qty</t>
        </is>
      </c>
      <c r="E1" s="6" t="inlineStr">
        <is>
          <t xml:space="preserve">Unit</t>
        </is>
      </c>
      <c r="F1" s="6" t="inlineStr">
        <is>
          <t xml:space="preserve">Rate</t>
        </is>
      </c>
      <c r="G1" s="6" t="inlineStr">
        <is>
          <t xml:space="preserve">Amount</t>
        </is>
      </c>
      <c r="H1" s="6" t="inlineStr">
        <is>
          <t xml:space="preserve">Prev Certified %</t>
        </is>
      </c>
      <c r="I1" s="6" t="inlineStr">
        <is>
          <t xml:space="preserve">Prev Certified</t>
        </is>
      </c>
      <c r="J1" s="6" t="inlineStr">
        <is>
          <t xml:space="preserve">Applied %</t>
        </is>
      </c>
      <c r="K1" s="6" t="inlineStr">
        <is>
          <t xml:space="preserve">Applied</t>
        </is>
      </c>
      <c r="L1" s="6" t="inlineStr">
        <is>
          <t xml:space="preserve">Certified %</t>
        </is>
      </c>
      <c r="M1" s="6" t="inlineStr">
        <is>
          <t xml:space="preserve">Certified</t>
        </is>
      </c>
      <c r="N1" s="6" t="inlineStr">
        <is>
          <t xml:space="preserve">Difference</t>
        </is>
      </c>
      <c r="O1" s="6" t="inlineStr">
        <is>
          <t xml:space="preserve">Notes</t>
        </is>
      </c>
      <c r="P1" s="6" t="inlineStr">
        <is>
          <t xml:space="preserve">Include in Summary</t>
        </is>
      </c>
    </row>
    <row r="2">
      <c r="B2" s="13" t="inlineStr">
        <is>
          <t xml:space="preserve">Variations</t>
        </is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>
      <c r="A3" t="inlineStr">
        <is>
          <t xml:space="preserve">V:x0</t>
        </is>
      </c>
      <c r="B3" s="7"/>
      <c r="C3" s="8" t="inlineStr">
        <is>
          <t xml:space="preserve">V01 Extra flashing</t>
        </is>
      </c>
      <c r="D3" s="7">
        <v>1</v>
      </c>
      <c r="E3" s="7" t="inlineStr">
        <is>
          <t xml:space="preserve">item</t>
        </is>
      </c>
      <c r="F3" s="9">
        <v>1000</v>
      </c>
      <c r="G3" s="9">
        <f>IFERROR(D3*F3, 0)</f>
        <v>1000</v>
      </c>
      <c r="H3" s="10">
        <v>0</v>
      </c>
      <c r="I3" s="9">
        <f>IFERROR(G3*H3, 0)</f>
        <v>0</v>
      </c>
      <c r="J3" s="11">
        <v>1</v>
      </c>
      <c r="K3" s="9">
        <f>IFERROR(G3*J3, 0)</f>
        <v>1000</v>
      </c>
      <c r="L3" s="12">
        <v>1</v>
      </c>
      <c r="M3" s="9">
        <f>IFERROR(G3*L3, 0)</f>
        <v>1000</v>
      </c>
      <c r="N3" s="9">
        <f>IFERROR(M3-K3, 0)</f>
        <v>0</v>
      </c>
      <c r="O3" s="7"/>
      <c r="P3">
        <v>1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1" customWidth="1" hidden="1"/>
    <col min="2" max="2" width="9" customWidth="1"/>
    <col min="3" max="3" width="46" customWidth="1"/>
    <col min="4" max="4" width="9" customWidth="1"/>
    <col min="5" max="5" width="11" customWidth="1"/>
    <col min="6" max="6" width="15" customWidth="1"/>
    <col min="7" max="7" width="15" customWidth="1"/>
    <col min="8" max="8" width="16" customWidth="1"/>
    <col min="9" max="9" width="15" customWidth="1"/>
    <col min="10" max="10" width="12" customWidth="1"/>
    <col min="11" max="11" width="15" customWidth="1"/>
    <col min="12" max="12" width="12" customWidth="1"/>
    <col min="13" max="13" width="15" customWidth="1"/>
    <col min="14" max="14" width="14" customWidth="1"/>
    <col min="15" max="15" width="21" customWidth="1"/>
    <col min="16" max="16" width="11" customWidth="1" hidden="1"/>
  </cols>
  <sheetData>
    <row r="1">
      <c r="A1" s="6" t="inlineStr">
        <is>
          <t xml:space="preserve">OpHUB Key</t>
        </is>
      </c>
      <c r="B1" s="6" t="inlineStr">
        <is>
          <t xml:space="preserve">Ref</t>
        </is>
      </c>
      <c r="C1" s="6" t="inlineStr">
        <is>
          <t xml:space="preserve">Description</t>
        </is>
      </c>
      <c r="D1" s="6" t="inlineStr">
        <is>
          <t xml:space="preserve">Qty</t>
        </is>
      </c>
      <c r="E1" s="6" t="inlineStr">
        <is>
          <t xml:space="preserve">Unit</t>
        </is>
      </c>
      <c r="F1" s="6" t="inlineStr">
        <is>
          <t xml:space="preserve">Rate</t>
        </is>
      </c>
      <c r="G1" s="6" t="inlineStr">
        <is>
          <t xml:space="preserve">Amount</t>
        </is>
      </c>
      <c r="H1" s="6" t="inlineStr">
        <is>
          <t xml:space="preserve">Prev Certified %</t>
        </is>
      </c>
      <c r="I1" s="6" t="inlineStr">
        <is>
          <t xml:space="preserve">Prev Certified</t>
        </is>
      </c>
      <c r="J1" s="6" t="inlineStr">
        <is>
          <t xml:space="preserve">Applied %</t>
        </is>
      </c>
      <c r="K1" s="6" t="inlineStr">
        <is>
          <t xml:space="preserve">Applied</t>
        </is>
      </c>
      <c r="L1" s="6" t="inlineStr">
        <is>
          <t xml:space="preserve">Certified %</t>
        </is>
      </c>
      <c r="M1" s="6" t="inlineStr">
        <is>
          <t xml:space="preserve">Certified</t>
        </is>
      </c>
      <c r="N1" s="6" t="inlineStr">
        <is>
          <t xml:space="preserve">Difference</t>
        </is>
      </c>
      <c r="O1" s="6" t="inlineStr">
        <is>
          <t xml:space="preserve">Notes</t>
        </is>
      </c>
      <c r="P1" s="6" t="inlineStr">
        <is>
          <t xml:space="preserve">Include in Summary</t>
        </is>
      </c>
    </row>
    <row r="2">
      <c r="B2" s="13" t="inlineStr">
        <is>
          <t xml:space="preserve">Dayworks</t>
        </is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>
      <c r="A3" t="inlineStr">
        <is>
          <t xml:space="preserve">D:0</t>
        </is>
      </c>
      <c r="B3" s="7"/>
      <c r="C3" s="8" t="inlineStr">
        <is>
          <t xml:space="preserve">DW01 Storm repairs</t>
        </is>
      </c>
      <c r="D3" s="7"/>
      <c r="E3" s="7"/>
      <c r="F3" s="9"/>
      <c r="G3" s="9">
        <v>640</v>
      </c>
      <c r="H3" s="10">
        <v>0</v>
      </c>
      <c r="I3" s="9">
        <f>IFERROR(G3*H3, 0)</f>
        <v>0</v>
      </c>
      <c r="J3" s="11">
        <v>1</v>
      </c>
      <c r="K3" s="9">
        <f>IFERROR(G3*J3, 0)</f>
        <v>640</v>
      </c>
      <c r="L3" s="12">
        <v>1</v>
      </c>
      <c r="M3" s="9">
        <f>IFERROR(G3*L3, 0)</f>
        <v>640</v>
      </c>
      <c r="N3" s="9">
        <f>IFERROR(M3-K3, 0)</f>
        <v>0</v>
      </c>
      <c r="O3" s="7"/>
      <c r="P3">
        <v>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4A52FAFAC9634594E33E7C73BEB037" ma:contentTypeVersion="14" ma:contentTypeDescription="Create a new document." ma:contentTypeScope="" ma:versionID="151138dee78d27da704c8094f1c1c55a">
  <xsd:schema xmlns:xsd="http://www.w3.org/2001/XMLSchema" xmlns:xs="http://www.w3.org/2001/XMLSchema" xmlns:p="http://schemas.microsoft.com/office/2006/metadata/properties" xmlns:ns2="380b2f0c-5f34-47de-bfdf-4cd5ba4701d4" xmlns:ns3="bb592cf4-19d5-42a6-b628-2f1779fb71a7" targetNamespace="http://schemas.microsoft.com/office/2006/metadata/properties" ma:root="true" ma:fieldsID="62b92b546310eb5583fc5adf99d9606b" ns2:_="" ns3:_="">
    <xsd:import namespace="380b2f0c-5f34-47de-bfdf-4cd5ba4701d4"/>
    <xsd:import namespace="bb592cf4-19d5-42a6-b628-2f1779fb71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0b2f0c-5f34-47de-bfdf-4cd5ba4701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e138bd8-2bfb-4e3c-b612-2327ee655c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592cf4-19d5-42a6-b628-2f1779fb71a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c0a61d8-9820-4d0f-93f9-08aab0f566c1}" ma:internalName="TaxCatchAll" ma:showField="CatchAllData" ma:web="bb592cf4-19d5-42a6-b628-2f1779fb71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b592cf4-19d5-42a6-b628-2f1779fb71a7" xsi:nil="true"/>
    <lcf76f155ced4ddcb4097134ff3c332f xmlns="380b2f0c-5f34-47de-bfdf-4cd5ba4701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92D161-42FA-4E77-B618-2798802F6696}"/>
</file>

<file path=customXml/itemProps2.xml><?xml version="1.0" encoding="utf-8"?>
<ds:datastoreItem xmlns:ds="http://schemas.openxmlformats.org/officeDocument/2006/customXml" ds:itemID="{0E053317-0111-475E-A0D4-59D4952BBE00}"/>
</file>

<file path=customXml/itemProps3.xml><?xml version="1.0" encoding="utf-8"?>
<ds:datastoreItem xmlns:ds="http://schemas.openxmlformats.org/officeDocument/2006/customXml" ds:itemID="{E6037B93-345F-4BA2-9820-1071D412536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0x010100534A52FAFAC9634594E33E7C73BEB037</vt:lpwstr>
  </property>
</Properties>
</file>