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1.xml.rels" ContentType="application/vnd.openxmlformats-package.relationships+xml"/>
  <Override PartName="/xl/worksheets/_rels/sheet5.xml.rels" ContentType="application/vnd.openxmlformats-package.relationships+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12.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7.xml" ContentType="application/vnd.openxmlformats-officedocument.drawing+xml"/>
  <Override PartName="/xl/drawings/drawing11.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Changes since v2" sheetId="2" state="visible" r:id="rId4"/>
    <sheet name="Bugs Now" sheetId="3" state="visible" r:id="rId5"/>
    <sheet name="Security Now" sheetId="4" state="visible" r:id="rId6"/>
    <sheet name="New Issues" sheetId="5" state="visible" r:id="rId7"/>
    <sheet name="Still to do" sheetId="6" state="visible" r:id="rId8"/>
    <sheet name="Finance-Projects Map v3" sheetId="7" state="visible" r:id="rId9"/>
    <sheet name="Proposals" sheetId="8" state="visible" r:id="rId10"/>
    <sheet name="Competitors" sheetId="9" state="visible" r:id="rId11"/>
    <sheet name="Capability Gap" sheetId="10" state="visible" r:id="rId12"/>
    <sheet name="Top 25 Ideas" sheetId="11" state="visible" r:id="rId13"/>
    <sheet name="Roadmap" sheetId="12" state="visible" r:id="rId14"/>
  </sheets>
  <definedNames>
    <definedName function="false" hidden="true" localSheetId="2" name="_xlnm._FilterDatabase" vbProcedure="false">'Bugs Now'!$A$4:$L$141</definedName>
    <definedName function="false" hidden="true" localSheetId="9" name="_xlnm._FilterDatabase" vbProcedure="false">'Capability Gap'!$A$5:$E$28</definedName>
    <definedName function="false" hidden="true" localSheetId="1" name="_xlnm._FilterDatabase" vbProcedure="false">'Changes since v2'!$A$4:$F$43</definedName>
    <definedName function="false" hidden="true" localSheetId="8" name="_xlnm._FilterDatabase" vbProcedure="false">Competitors!$A$5:$L$15</definedName>
    <definedName function="false" hidden="true" localSheetId="6" name="_xlnm._FilterDatabase" vbProcedure="false">'Finance-Projects Map v3'!$A$4:$L$92</definedName>
    <definedName function="false" hidden="true" localSheetId="4" name="_xlnm._FilterDatabase" vbProcedure="false">'New Issues'!$A$4:$M$41</definedName>
    <definedName function="false" hidden="true" localSheetId="7" name="_xlnm._FilterDatabase" vbProcedure="false">Proposals!$A$4:$I$36</definedName>
    <definedName function="false" hidden="true" localSheetId="11" name="_xlnm._FilterDatabase" vbProcedure="false">Roadmap!$A$5:$G$18</definedName>
    <definedName function="false" hidden="true" localSheetId="3" name="_xlnm._FilterDatabase" vbProcedure="false">'Security Now'!$A$5:$L$38</definedName>
    <definedName function="false" hidden="true" localSheetId="5" name="_xlnm._FilterDatabase" vbProcedure="false">'Still to do'!$A$4:$F$36</definedName>
    <definedName function="false" hidden="true" localSheetId="10" name="_xlnm._FilterDatabase" vbProcedure="false">'Top 25 Ideas'!$A$5:$E$30</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B5" authorId="0">
      <text>
        <r>
          <rPr>
            <sz val="10"/>
            <rFont val="Arial"/>
            <family val="2"/>
          </rPr>
          <t xml:space="preserve">Typed in from the v2 workbook "OpHUB Overnight Review v2 - 24 Oct 2026 (evening).xlsx". "n/a" = not counted in v2.</t>
        </r>
      </text>
    </comment>
  </commentList>
</comments>
</file>

<file path=xl/sharedStrings.xml><?xml version="1.0" encoding="utf-8"?>
<sst xmlns="http://schemas.openxmlformats.org/spreadsheetml/2006/main" count="4557" uniqueCount="2687">
  <si>
    <t xml:space="preserve">OpHUB review v3 — 27 Oct 2026</t>
  </si>
  <si>
    <t xml:space="preserve">Everything since v2 (24 Oct evening): fix round 2, three database security batches, 15 server functions redeployed, and the new features you asked for. Every v2 row is carried forward with its status now.</t>
  </si>
  <si>
    <t xml:space="preserve">At a glance</t>
  </si>
  <si>
    <t xml:space="preserve">v2 (24 Oct)</t>
  </si>
  <si>
    <t xml:space="preserve">Now (27 Oct)</t>
  </si>
  <si>
    <t xml:space="preserve">Notes</t>
  </si>
  <si>
    <t xml:space="preserve">Bugs (137 from the 23 Oct review)</t>
  </si>
  <si>
    <t xml:space="preserve">Fixed</t>
  </si>
  <si>
    <t xml:space="preserve">Fix round 2 (25 Oct) fixed almost all the rest.</t>
  </si>
  <si>
    <t xml:space="preserve">Partly fixed</t>
  </si>
  <si>
    <t xml:space="preserve">CORE-M3, CORE-L11, PA-38, FA-15: see Still to do.</t>
  </si>
  <si>
    <t xml:space="preserve">Open</t>
  </si>
  <si>
    <t xml:space="preserve">CORE-M7 (holiday approvals need a database rule).</t>
  </si>
  <si>
    <t xml:space="preserve">Was wrong (not a real bug)</t>
  </si>
  <si>
    <t xml:space="preserve">Open or partly fixed, Critical/High</t>
  </si>
  <si>
    <t xml:space="preserve">Security (33: 30 from 23 Oct + 3 from 24 Oct)</t>
  </si>
  <si>
    <t xml:space="preserve">Batches 1–3 applied and server functions redeployed.</t>
  </si>
  <si>
    <t xml:space="preserve">C1 and L10 wait on you; H3 needs private buckets; N3 needs the repo copy updated.</t>
  </si>
  <si>
    <t xml:space="preserve">Info / needs check</t>
  </si>
  <si>
    <t xml:space="preserve">C1 (your task) and H3.</t>
  </si>
  <si>
    <t xml:space="preserve">New issues (37 found 24 Oct evening)</t>
  </si>
  <si>
    <t xml:space="preserve">16 (waiting for Push origin)</t>
  </si>
  <si>
    <t xml:space="preserve">SEC-N3: repo copy of the Xero function.</t>
  </si>
  <si>
    <t xml:space="preserve">CP-NEW-1 (OneDrive "Connected" check).</t>
  </si>
  <si>
    <t xml:space="preserve">Andy to decide</t>
  </si>
  <si>
    <t xml:space="preserve">Contra to Xero decided and done (minus line).</t>
  </si>
  <si>
    <t xml:space="preserve">Needs check</t>
  </si>
  <si>
    <t xml:space="preserve">Finance ↔ Projects links (88)</t>
  </si>
  <si>
    <t xml:space="preserve">Working</t>
  </si>
  <si>
    <t xml:space="preserve">13 links changed: materials ↔ PO links, calendars, proof of works, retention dates, Getting Started.</t>
  </si>
  <si>
    <t xml:space="preserve">Partial</t>
  </si>
  <si>
    <t xml:space="preserve">Broken</t>
  </si>
  <si>
    <t xml:space="preserve">Missing</t>
  </si>
  <si>
    <t xml:space="preserve">See the map page and Proposals.</t>
  </si>
  <si>
    <t xml:space="preserve">Not needed</t>
  </si>
  <si>
    <t xml:space="preserve">L43 (SoW waste → yard).</t>
  </si>
  <si>
    <t xml:space="preserve">Still to do</t>
  </si>
  <si>
    <t xml:space="preserve">Items on the list</t>
  </si>
  <si>
    <t xml:space="preserve">n/a</t>
  </si>
  <si>
    <t xml:space="preserve">…your tasks</t>
  </si>
  <si>
    <t xml:space="preserve">3 now + 2 waiting for you to ask.</t>
  </si>
  <si>
    <t xml:space="preserve">Blue = typed in from v2. Black = worked out live from the other tabs (they update if you change a status).</t>
  </si>
  <si>
    <t xml:space="preserve">What you need to do</t>
  </si>
  <si>
    <t xml:space="preserve">1. Turn on leaked-password protection</t>
  </si>
  <si>
    <t xml:space="preserve">Supabase › Authentication › Attack Protection. One switch (SEC-L10).</t>
  </si>
  <si>
    <t xml:space="preserve">2. Reconnect OneDrive and revoke the old Microsoft sessions</t>
  </si>
  <si>
    <t xml:space="preserve">The database now hides the tokens, but old ones may have been read before 25 Oct (SEC-C1). Admin Centre › Integrations, then Microsoft Entra › Revoke sessions.</t>
  </si>
  <si>
    <t xml:space="preserve">3. Press Push origin for the 26–27 Oct changes, if you haven't</t>
  </si>
  <si>
    <t xml:space="preserve">Send pop-up, invoice jobs, purchase invoices table, driver time off, laptop polish, Sales column.</t>
  </si>
  <si>
    <t xml:space="preserve">What's left (top of the Still to do tab)</t>
  </si>
  <si>
    <t xml:space="preserve">Private file storage (SEC-H3)</t>
  </si>
  <si>
    <t xml:space="preserve">Files are limited to your company in the app, but a file's exact web link still opens for anyone.</t>
  </si>
  <si>
    <t xml:space="preserve">Repo copy of the Xero function (SEC-N3)</t>
  </si>
  <si>
    <t xml:space="preserve">Copy the live version in, so a redeploy can't undo the contra line.</t>
  </si>
  <si>
    <t xml:space="preserve">Driver "received" mark (map L41)</t>
  </si>
  <si>
    <t xml:space="preserve">Check the database lets a driver write it; otherwise move it to the server.</t>
  </si>
  <si>
    <t xml:space="preserve">Site variations at £0 (map L22)</t>
  </si>
  <si>
    <t xml:space="preserve">The last Broken money link that reaches the client.</t>
  </si>
  <si>
    <t xml:space="preserve">Holiday approvals and device lock (CORE-M7, CORE-M3)</t>
  </si>
  <si>
    <t xml:space="preserve">Both are only checked in the app; each needs a database rule.</t>
  </si>
  <si>
    <t xml:space="preserve">Tabs in this workbook</t>
  </si>
  <si>
    <t xml:space="preserve">Changes since v2</t>
  </si>
  <si>
    <t xml:space="preserve">Every change from 25 to 27 Oct: date, area, what changed, where to see it, and whether it is live.</t>
  </si>
  <si>
    <t xml:space="preserve">Bugs Now</t>
  </si>
  <si>
    <t xml:space="preserve">The 137 bugs: status in v2, status now, what changed and the evidence. Open first.</t>
  </si>
  <si>
    <t xml:space="preserve">Security Now</t>
  </si>
  <si>
    <t xml:space="preserve">The 33 security items against the database and server as they are now.</t>
  </si>
  <si>
    <t xml:space="preserve">New Issues</t>
  </si>
  <si>
    <t xml:space="preserve">The 37 issues found on 24 Oct evening, with their status now.</t>
  </si>
  <si>
    <t xml:space="preserve">One list of everything open or partly fixed, plus your tasks, most important first.</t>
  </si>
  <si>
    <t xml:space="preserve">Finance-Projects Map v3</t>
  </si>
  <si>
    <t xml:space="preserve">The 88 links, as on the "Projects ⇄ Finance" map page, with v2 and current status.</t>
  </si>
  <si>
    <t xml:space="preserve">Proposals, Competitors, Capability Gap, Top 25 Ideas</t>
  </si>
  <si>
    <t xml:space="preserve">Copied from v2 unchanged.</t>
  </si>
  <si>
    <t xml:space="preserve">Roadmap</t>
  </si>
  <si>
    <t xml:space="preserve">The v2 order of work, with what is done now.</t>
  </si>
  <si>
    <t xml:space="preserve">Changes since v2 (24 Oct evening) up to 27 Oct morning</t>
  </si>
  <si>
    <t xml:space="preserve">Everything up to the 27 Oct change is on your laptop. "Live" = pushed (or a database/server change, live straight away). "Live after Push origin" = on the laptop; it goes live when you press Push origin, if you haven't already.</t>
  </si>
  <si>
    <t xml:space="preserve">Date</t>
  </si>
  <si>
    <t xml:space="preserve">Area</t>
  </si>
  <si>
    <t xml:space="preserve">What changed</t>
  </si>
  <si>
    <t xml:space="preserve">Where to see it</t>
  </si>
  <si>
    <t xml:space="preserve">Live?</t>
  </si>
  <si>
    <t xml:space="preserve">Evidence</t>
  </si>
  <si>
    <t xml:space="preserve">25 Oct</t>
  </si>
  <si>
    <t xml:space="preserve">Whole app</t>
  </si>
  <si>
    <t xml:space="preserve">Fix round 2, core: links that could run a script are closed; "Remember me" keeps the email only; big lists load in pages; bank holidays after 2028; offline page; admin console stays signed in on a bad signal.</t>
  </si>
  <si>
    <t xml:space="preserve">Everywhere</t>
  </si>
  <si>
    <t xml:space="preserve">Live</t>
  </si>
  <si>
    <t xml:space="preserve">499b04b; out/fix2/core-done.md</t>
  </si>
  <si>
    <t xml:space="preserve">Projects</t>
  </si>
  <si>
    <t xml:space="preserve">Fix round 2: 36 Projects bugs fixed (reports, briefings, price builder, templates, RAMS/COSHH builders, permits, check-in, snags, certificates, inductions, schedule).</t>
  </si>
  <si>
    <t xml:space="preserve">Projects pages</t>
  </si>
  <si>
    <t xml:space="preserve">160eed7; out/fix2/projA-done.md</t>
  </si>
  <si>
    <t xml:space="preserve">Fix round 2: materials, HAVS, LOLER, one-person messages, PPE PDF, deliveries; a job link with a made-up job id now goes home.</t>
  </si>
  <si>
    <t xml:space="preserve">7579042; out/fix2/projB-done.md</t>
  </si>
  <si>
    <t xml:space="preserve">Finance</t>
  </si>
  <si>
    <t xml:space="preserve">Fix round 2: lists load in pages, retention "still held" everywhere, records in Xero protected, number clashes retried, stuck inbox invoices recovered.</t>
  </si>
  <si>
    <t xml:space="preserve">Finance pages</t>
  </si>
  <si>
    <t xml:space="preserve">c473337; out/fix2/finance-done.md</t>
  </si>
  <si>
    <t xml:space="preserve">Database</t>
  </si>
  <si>
    <t xml:space="preserve">Integrity: duplicate numbers refused, file paths checked for safety (H1/H2), search path fixed (L3), contra column for subcontract payments.</t>
  </si>
  <si>
    <t xml:space="preserve">—</t>
  </si>
  <si>
    <t xml:space="preserve">Live (database)</t>
  </si>
  <si>
    <t xml:space="preserve">sec_round2_a_integrity</t>
  </si>
  <si>
    <t xml:space="preserve">Security</t>
  </si>
  <si>
    <t xml:space="preserve">Security batch 1: OneDrive tokens server-only (C1), price files (H4), check-ins (H5), manager-only approvals (H6), company settings admin-only (M2), profile guard (M3), sign as yourself (M4), prices (M5).</t>
  </si>
  <si>
    <t xml:space="preserve">/home/claude/sql/1 - OpHUB security batch (25 Oct).sql</t>
  </si>
  <si>
    <t xml:space="preserve">Batch 2: materials/PO lock, delivery dates, delivery problem, invoice query, new message types.</t>
  </si>
  <si>
    <t xml:space="preserve">/home/claude/sql/2 - OpHUB materials and orders (25 Oct).sql</t>
  </si>
  <si>
    <t xml:space="preserve">25 Oct (confirmed 27 Oct)</t>
  </si>
  <si>
    <t xml:space="preserve">Batch 3: files readable only inside your company (H3, buckets still public), shared folders per company (M6), webapp storage closed (M9), yard cost edits (M11), function access (L1, L2), device id fix (L4), orphan deletes (L6), clients kept out of company lists (M1), Finance project checks (N2).</t>
  </si>
  <si>
    <t xml:space="preserve">/home/claude/sql/3 - OpHUB security batch 3 (25 Oct).sql; ea36726</t>
  </si>
  <si>
    <t xml:space="preserve">Server</t>
  </si>
  <si>
    <t xml:space="preserve">15 server functions redeployed: email links and daily limits, OneDrive upload checks, password reset limit, website allow-list, finance inbox (key header, supplier check), Xero v10 (split bills per project and the contra line).</t>
  </si>
  <si>
    <t xml:space="preserve">Live (server)</t>
  </si>
  <si>
    <t xml:space="preserve">claude/OpHUB edge function deploy - 25 Oct 2026 evening.md</t>
  </si>
  <si>
    <t xml:space="preserve">Finance › Applications</t>
  </si>
  <si>
    <t xml:space="preserve">Proof of works: the Schedule of Works report goes with the application PDF, Excel and email (whole schedule, or photos since the last application).</t>
  </si>
  <si>
    <t xml:space="preserve">Application › Download PDF / Excel / Email</t>
  </si>
  <si>
    <t xml:space="preserve">6d0375b; 9219zo</t>
  </si>
  <si>
    <t xml:space="preserve">Calendars</t>
  </si>
  <si>
    <t xml:space="preserve">Application dates show on the site and all-projects calendars for PMs, admins, estimators and QSs.</t>
  </si>
  <si>
    <t xml:space="preserve">Job calendar; all-projects calendar</t>
  </si>
  <si>
    <t xml:space="preserve">6d0375b; 9219zp</t>
  </si>
  <si>
    <t xml:space="preserve">Yard</t>
  </si>
  <si>
    <t xml:space="preserve">"Book stock in" for PMs, drivers and Finance (photo of the delivery note; Finance can link the PO). SoW waste and leftovers are not linked, as agreed.</t>
  </si>
  <si>
    <t xml:space="preserve">Materials tab; driver home tile; Finance › Yard stock</t>
  </si>
  <si>
    <t xml:space="preserve">6d0375b; 9219zq</t>
  </si>
  <si>
    <t xml:space="preserve">Materials ↔ Finance</t>
  </si>
  <si>
    <t xml:space="preserve">1. A sent PO is locked in Projects and changed in Finance (cancel or remove lines; the site requests follow).</t>
  </si>
  <si>
    <t xml:space="preserve">Material Requests; Finance PO page</t>
  </si>
  <si>
    <t xml:space="preserve">afdd1f9; 9219zr; materials-done item 1</t>
  </si>
  <si>
    <t xml:space="preserve">2. Operatives never see POs, only delivery dates.</t>
  </si>
  <si>
    <t xml:space="preserve">Operative Materials and calendar</t>
  </si>
  <si>
    <t xml:space="preserve">afdd1f9; materials-done item 3</t>
  </si>
  <si>
    <t xml:space="preserve">3. Office (Finance) orders are shown to managers on the job, with delivery dates on the calendars.</t>
  </si>
  <si>
    <t xml:space="preserve">Materials › "Ordered By The Office"</t>
  </si>
  <si>
    <t xml:space="preserve">4. A delivery problem goes to Finance and puts that PO's supplier invoices on query.</t>
  </si>
  <si>
    <t xml:space="preserve">Inbox › "Delivery problem"</t>
  </si>
  <si>
    <t xml:space="preserve">afdd1f9; materials-done item 2</t>
  </si>
  <si>
    <t xml:space="preserve">5. A driver's collection counts as goods received (with photos).</t>
  </si>
  <si>
    <t xml:space="preserve">Delivery Schedule; Completed requests</t>
  </si>
  <si>
    <t xml:space="preserve">afdd1f9; materials-done item 4</t>
  </si>
  <si>
    <t xml:space="preserve">6. Finance PO PDFs are saved in the job's Material PO's folder.</t>
  </si>
  <si>
    <t xml:space="preserve">Material PO's › Finance POs</t>
  </si>
  <si>
    <t xml:space="preserve">afdd1f9; materials-done item 5</t>
  </si>
  <si>
    <t xml:space="preserve">7. Invoice queries go to the PM (pop-up to answer), and the order note is on the PO.</t>
  </si>
  <si>
    <t xml:space="preserve">Inbox › "Invoice query"; Finance invoice view</t>
  </si>
  <si>
    <t xml:space="preserve">afdd1f9; materials-done items 6-7</t>
  </si>
  <si>
    <t xml:space="preserve">Finance › Bill of Quantities</t>
  </si>
  <si>
    <t xml:space="preserve">Laptop layout: commas, only rates editable (lump sum when no quantity), margin first, sticky header, Budgets drop-down, summary at the bottom, Excel/PDF export, Upload Client's Bill top right.</t>
  </si>
  <si>
    <t xml:space="preserve">Project › Bill of Quantities (computer)</t>
  </si>
  <si>
    <t xml:space="preserve">b8af789; out/fix2/boq-done.md</t>
  </si>
  <si>
    <t xml:space="preserve">Finance › Project Admin</t>
  </si>
  <si>
    <t xml:space="preserve">Compact layout with Contract Terms sub-headers; no value on client POs; main PO line and contract value note removed.</t>
  </si>
  <si>
    <t xml:space="preserve">Project › Project Admin</t>
  </si>
  <si>
    <t xml:space="preserve">f439c28, 55347b2; out/fix2/padmin-done.md</t>
  </si>
  <si>
    <t xml:space="preserve">Finance › Full Summary</t>
  </si>
  <si>
    <t xml:space="preserve">Tables compact and lined up; search box outline fixed.</t>
  </si>
  <si>
    <t xml:space="preserve">Project › Full Summary</t>
  </si>
  <si>
    <t xml:space="preserve">e93a9f4</t>
  </si>
  <si>
    <t xml:space="preserve">25 Oct (evening)</t>
  </si>
  <si>
    <t xml:space="preserve">Smaller tick boxes and buttons; "+ Add ▾" menu (Section / Sub-section / Item); "Budgets ▾"; item boxes across the full row; small Issue as SOW at the right of the summary tiles; + on section rows; the ticked-lines bar only appears when lines are ticked, with Select all.</t>
  </si>
  <si>
    <t xml:space="preserve">f5a212a, 78dca93</t>
  </si>
  <si>
    <t xml:space="preserve">Finance › Overview</t>
  </si>
  <si>
    <t xml:space="preserve">Reports and Budgets moved to the right.</t>
  </si>
  <si>
    <t xml:space="preserve">Project › Overview</t>
  </si>
  <si>
    <t xml:space="preserve">78dca93</t>
  </si>
  <si>
    <t xml:space="preserve">26 Oct</t>
  </si>
  <si>
    <t xml:space="preserve">Finance (computer)</t>
  </si>
  <si>
    <t xml:space="preserve">Laptop polish: softer boxes, custom tick boxes and drop-downs, no underlined links, tinted table headers.</t>
  </si>
  <si>
    <t xml:space="preserve">Finance on a computer</t>
  </si>
  <si>
    <t xml:space="preserve">On the laptop — live after Push origin</t>
  </si>
  <si>
    <t xml:space="preserve">cd73de6</t>
  </si>
  <si>
    <t xml:space="preserve">Plain-English error messages everywhere (database errors are translated).</t>
  </si>
  <si>
    <t xml:space="preserve">Any failed save</t>
  </si>
  <si>
    <t xml:space="preserve">2093646</t>
  </si>
  <si>
    <t xml:space="preserve">Bill of Quantities "null value" error fixed: a blank required box in any Finance table now gets its default.</t>
  </si>
  <si>
    <t xml:space="preserve">BoQ save</t>
  </si>
  <si>
    <t xml:space="preserve">fin_fill_defaults trigger</t>
  </si>
  <si>
    <t xml:space="preserve">Finance › Invoice jobs</t>
  </si>
  <si>
    <t xml:space="preserve">No Applied or Retention tiles; forecast = contract + variations, or the total invoiced if higher; no retention or application dates in Project Admin; no Retention tab.</t>
  </si>
  <si>
    <t xml:space="preserve">Project › Overview, Project Admin</t>
  </si>
  <si>
    <t xml:space="preserve">65fa033</t>
  </si>
  <si>
    <t xml:space="preserve">Finance › Application jobs</t>
  </si>
  <si>
    <t xml:space="preserve">Monthly application dates in a closed drop-down, filled in from the application day.</t>
  </si>
  <si>
    <t xml:space="preserve">Project Admin › Application Dates</t>
  </si>
  <si>
    <t xml:space="preserve">Finance › Purchases</t>
  </si>
  <si>
    <t xml:space="preserve">Purchase invoices table: Item column with expandable lines, search covers items, Expand all, no PO column, short dates, centred text.</t>
  </si>
  <si>
    <t xml:space="preserve">Finance › Projects</t>
  </si>
  <si>
    <t xml:space="preserve">Job number pills all the same size.</t>
  </si>
  <si>
    <t xml:space="preserve">b5c27ab</t>
  </si>
  <si>
    <t xml:space="preserve">Finance › Sales</t>
  </si>
  <si>
    <t xml:space="preserve">Send pop-up for invoices and applications (like Xero): To, Subject, Message, attachments with add/remove, send me a copy.</t>
  </si>
  <si>
    <t xml:space="preserve">Invoice or application › Send</t>
  </si>
  <si>
    <t xml:space="preserve">f3c22b8</t>
  </si>
  <si>
    <t xml:space="preserve">Finance › Emails</t>
  </si>
  <si>
    <t xml:space="preserve">Fuller invoice email text and a signature: sender, company, email, company number and logo.</t>
  </si>
  <si>
    <t xml:space="preserve">Emails to clients</t>
  </si>
  <si>
    <t xml:space="preserve">Live (server) (send-finance-email v5); app part on the laptop — live after push origin</t>
  </si>
  <si>
    <t xml:space="preserve">6d11ca4, 1b2bf9d</t>
  </si>
  <si>
    <t xml:space="preserve">Deliveries</t>
  </si>
  <si>
    <t xml:space="preserve">Drivers: Book Time Off (one day or a range). Deliveries are blocked on that driver's day off, or on the whole day if the only driver (or every driver) is off; the office gets a pop-up, and whoever booked an affected delivery is messaged.</t>
  </si>
  <si>
    <t xml:space="preserve">Driver home; Delivery Schedule</t>
  </si>
  <si>
    <t xml:space="preserve">On the laptop — live after Push origin; database part live</t>
  </si>
  <si>
    <t xml:space="preserve">64a7424; driver_time_off table + delivery_driver_off_check trigger</t>
  </si>
  <si>
    <t xml:space="preserve">27 Oct</t>
  </si>
  <si>
    <t xml:space="preserve">First column centred.</t>
  </si>
  <si>
    <t xml:space="preserve">2c34b12</t>
  </si>
  <si>
    <t xml:space="preserve">Decided</t>
  </si>
  <si>
    <t xml:space="preserve">Labour</t>
  </si>
  <si>
    <t xml:space="preserve">Labour (Projects ↔ Finance) needs a full review later, once everything else is done.</t>
  </si>
  <si>
    <t xml:space="preserve">Map links L48–L56, L62</t>
  </si>
  <si>
    <t xml:space="preserve">rep/v2/future.md</t>
  </si>
  <si>
    <t xml:space="preserve">Repair jobs</t>
  </si>
  <si>
    <t xml:space="preserve">Repair jobs in Finance: when you ask.</t>
  </si>
  <si>
    <t xml:space="preserve">Map L13–L15</t>
  </si>
  <si>
    <t xml:space="preserve">L43 (SoW waste and leftovers → yard) is not wanted.</t>
  </si>
  <si>
    <t xml:space="preserve">Map L43</t>
  </si>
  <si>
    <t xml:space="preserve">Back button</t>
  </si>
  <si>
    <t xml:space="preserve">FB-21: the "up one level" Back is for managers only.</t>
  </si>
  <si>
    <t xml:space="preserve">c473337 (9219v:264)</t>
  </si>
  <si>
    <t xml:space="preserve">Bugs Now: the 137 bugs, status on 27 Oct</t>
  </si>
  <si>
    <t xml:space="preserve">Every v2 row carried forward. Status now is only "Fixed" where a fix report or commit backs it up. Open first, then worst first.</t>
  </si>
  <si>
    <t xml:space="preserve">ID</t>
  </si>
  <si>
    <t xml:space="preserve">Severity</t>
  </si>
  <si>
    <t xml:space="preserve">Part of app</t>
  </si>
  <si>
    <t xml:space="preserve">Title</t>
  </si>
  <si>
    <t xml:space="preserve">Status in v2</t>
  </si>
  <si>
    <t xml:space="preserve">Status now</t>
  </si>
  <si>
    <t xml:space="preserve">Fixed on</t>
  </si>
  <si>
    <t xml:space="preserve">Evidence (done report / commit / file:line)</t>
  </si>
  <si>
    <t xml:space="preserve">v2 evidence</t>
  </si>
  <si>
    <t xml:space="preserve">v2 note</t>
  </si>
  <si>
    <t xml:space="preserve">CORE-M7</t>
  </si>
  <si>
    <t xml:space="preserve">Medium</t>
  </si>
  <si>
    <t xml:space="preserve">Core 000-260</t>
  </si>
  <si>
    <t xml:space="preserve">Leave approval and limits only checked in the client</t>
  </si>
  <si>
    <t xml:space="preserve">status:'approved' (admin or sick), the allowance check and the "max off at once" check are all decided in the browser. hrDecide is a plain d</t>
  </si>
  <si>
    <t xml:space="preserve">Not changed. Holiday approvals and limits are still only checked in the app; needs a database rule.</t>
  </si>
  <si>
    <t xml:space="preserve">core-done: "Not done (server only)"; hr_leave is not in security batches 1-3</t>
  </si>
  <si>
    <t xml:space="preserve">186-hr.js:174 dbInsert with status from the browser; 196 plain dbUpdate of status/decided_by</t>
  </si>
  <si>
    <t xml:space="preserve">Server-side trigger/RLS is Needs check.</t>
  </si>
  <si>
    <t xml:space="preserve">CORE-M3</t>
  </si>
  <si>
    <t xml:space="preserve">Device lock only checked in the client</t>
  </si>
  <si>
    <t xml:space="preserve">signIn() saves the session to storage before the device-lock check. The lock is only checked at sign-in and app open, and nothing else (chec</t>
  </si>
  <si>
    <t xml:space="preserve">The app now saves the sign-in only after the device check passes. The server still doesn't check the device when someone checks in.</t>
  </si>
  <si>
    <t xml:space="preserve">core-done: 070:37-56, 050:105, 140:144/158, 150:94-108 (499b04b). Server part not done.</t>
  </si>
  <si>
    <t xml:space="preserve">070-auth.js:50-51 saves SESSION before the device-lock check at 140:142-151</t>
  </si>
  <si>
    <t xml:space="preserve">Nothing on the server enforces it (no SQL in repo).</t>
  </si>
  <si>
    <t xml:space="preserve">FA-15</t>
  </si>
  <si>
    <t xml:space="preserve">Finance 900-9219h</t>
  </si>
  <si>
    <t xml:space="preserve">Finance › Team (permissions)</t>
  </si>
  <si>
    <t xml:space="preserve">"Give Finance" quietly promotes the person to PM, and switching Finance off doesn't undo it</t>
  </si>
  <si>
    <t xml:space="preserve">Switching Finance off puts the old role back, but only on the device that gave Finance. The database column for it now exists; the app doesn't use it yet.</t>
  </si>
  <si>
    <t xml:space="preserve">finance-done: 908:218, 900:502 (localStorage); profiles.finance_prev_role added 25 Oct but unused (900:496 comment)</t>
  </si>
  <si>
    <t xml:space="preserve">908:216-235 asks first ("also makes them a manager") and puts the old role back if Finance doesn't switch on. This covers the silent RLS refusal too, because 900:435 returns without setting finance_enabled.</t>
  </si>
  <si>
    <t xml:space="preserve">Switching Finance off still doesn't restore the earlier role, and the role is still changed before Finance access is confirmed.</t>
  </si>
  <si>
    <t xml:space="preserve">CORE-L11</t>
  </si>
  <si>
    <t xml:space="preserve">Low</t>
  </si>
  <si>
    <t xml:space="preserve">Malformed % in the URL crashes the page</t>
  </si>
  <si>
    <t xml:space="preserve">decodeURIComponent on from / reset parameters isn't wrapped in try/catch.</t>
  </si>
  <si>
    <t xml:space="preserve">Fixed on the sign-in and Team pages. The Schedule of Works page can still crash on a cut-off link.</t>
  </si>
  <si>
    <t xml:space="preserve">core-done: 140:21-23, 260:941; still open at 480:854</t>
  </si>
  <si>
    <t xml:space="preserve">260:937 and 140-login.js:21 decodeURIComponent without try/catch</t>
  </si>
  <si>
    <t xml:space="preserve">PA-38</t>
  </si>
  <si>
    <t xml:space="preserve">Projects 270-589</t>
  </si>
  <si>
    <t xml:space="preserve">Main contractor tiles</t>
  </si>
  <si>
    <t xml:space="preserve">MC tile hiding and the induction count</t>
  </si>
  <si>
    <t xml:space="preserve">The induction count is right now. Hidden tiles can still be opened by a direct link.</t>
  </si>
  <si>
    <t xml:space="preserve">projA-done: 510:66; route gating in 890 not done (no mc_hidden_tiles check in 890)</t>
  </si>
  <si>
    <t xml:space="preserve">510:55, 62 counts every completion row, including leavers and repeats</t>
  </si>
  <si>
    <t xml:space="preserve">CORE-C1</t>
  </si>
  <si>
    <t xml:space="preserve">Critical</t>
  </si>
  <si>
    <t xml:space="preserve">XSS / navigation</t>
  </si>
  <si>
    <t xml:space="preserve">The header back arrow is built as onclick="goBack('${opts.back}')" with no escaping. opts.back can come from (a) the ?from= query on #/team,</t>
  </si>
  <si>
    <t xml:space="preserve">Every back arrow, tab bar and sidebar link is now checked or escaped, and a job link with a made-up job id goes back home. Small gap left: in Finance-only companies the job's Finance link skips the new job check.</t>
  </si>
  <si>
    <t xml:space="preserve">core-done: 130:104-184, 125:81, 260:941, 200:~205 (499b04b); projB-done: 890:229-250 (7579042)</t>
  </si>
  <si>
    <t xml:space="preserve">130-shell.js:141 now goBack('${jsAttr(opts.back)}'). 260:937 and 480:854 still decodeURIComponent(from) with no check. 130:180 go('${t.href}') and 125:81 go('${i.go}') are still unescaped.</t>
  </si>
  <si>
    <t xml:space="preserve">The no-tap ?from= XSS is closed. The tab bar is still open: the route site id is never checked against SITES (890:202–203), and pages such as renderVariations (800:142) pass it to tabbar(). So #/site/x'-alert(1)-'/snagging/variations should still run script when any bottom tab is tapped (Needs check in Safari/Chrome: ' is not percent-encoded in a fragment). Use jsAttr in tabbar and the desktop sidebar too.</t>
  </si>
  <si>
    <t xml:space="preserve">CORE-H1</t>
  </si>
  <si>
    <t xml:space="preserve">High</t>
  </si>
  <si>
    <t xml:space="preserve">Stored XSS</t>
  </si>
  <si>
    <t xml:space="preserve">Device Locks puts d.device_id raw into onclick="approvePendingDevice('…')" / unlockDevice('…'). The device id is chosen by the client: getDe</t>
  </si>
  <si>
    <t xml:space="preserve">Fixed before v2.</t>
  </si>
  <si>
    <t xml:space="preserve">24 Oct</t>
  </si>
  <si>
    <t xml:space="preserve">260:910, 911, 920 now use jsAttr(d.device_id)</t>
  </si>
  <si>
    <t xml:space="preserve">Client side only. Whether check_device_lock_v2 checks the id's format is still Needs check (no SQL in repo).</t>
  </si>
  <si>
    <t xml:space="preserve">CORE-H2</t>
  </si>
  <si>
    <t xml:space="preserve">XSS / broken button (superadmin)</t>
  </si>
  <si>
    <t xml:space="preserve">onclick="resetPassword('${escapeHtml(p.email)}')" uses escapeHtml inside a JS string. The browser turns &amp;#39; back into ' before running the</t>
  </si>
  <si>
    <t xml:space="preserve">admin.html:485 resetPassword('${jsAttr(p.email)}')</t>
  </si>
  <si>
    <t xml:space="preserve">admin.html's own jsAttr (line 221) still doesn't escape \n / \r like the app's _jsEsc (030:194). That's minor, because an email address can't contain a newline.</t>
  </si>
  <si>
    <t xml:space="preserve">FA-01</t>
  </si>
  <si>
    <t xml:space="preserve">Settings / invoice numbering</t>
  </si>
  <si>
    <t xml:space="preserve">Saving Finance settings can wind the invoice counter back, giving duplicate invoice numbers</t>
  </si>
  <si>
    <t xml:space="preserve">900:158-160, 173. The invoice and job counters are only sent when the box differs from its defaultValue (or when there is no settings row or job number yet). The 9219o:85-99 wrapper still calls the base save.</t>
  </si>
  <si>
    <t xml:space="preserve">Someone can still type a lower number on purpose. There is no server-side floor (RPC or conditional update) as the finding suggested.</t>
  </si>
  <si>
    <t xml:space="preserve">FA-03</t>
  </si>
  <si>
    <t xml:space="preserve">Purchase invoice inbox (auto-filing)</t>
  </si>
  <si>
    <t xml:space="preserve">Two people (or a phone and a computer) opening Finance at once file the same emailed invoice twice</t>
  </si>
  <si>
    <t xml:space="preserve">9219b:56, 66 and 92-93. Each write is conditional on the row still being new: dbUpdate('fin_inbox', id+'&amp;status=eq.new', …). The {status:'filed'} claim happens before the insert, and the item goes back to new if the insert fails (9219b:97).</t>
  </si>
  <si>
    <t xml:space="preserve">This is client-side only. There is still no unique index on purchase_invoices (DB check), so a browser that dies between claim and insert leaves the item "filed" with no invoice. See NEW-04 for a misleading toast.</t>
  </si>
  <si>
    <t xml:space="preserve">FA-04</t>
  </si>
  <si>
    <t xml:space="preserve">Reports › Cash flow forecast</t>
  </si>
  <si>
    <t xml:space="preserve">The cash flow forecast counts money in without VAT and money out with VAT</t>
  </si>
  <si>
    <t xml:space="preserve">913:87 uses finInvOutstanding(i) (gross) for invoices. Applications are ×1.2 when standard-rated, suppliers use total.</t>
  </si>
  <si>
    <t xml:space="preserve">All columns now include VAT.</t>
  </si>
  <si>
    <t xml:space="preserve">FA-05</t>
  </si>
  <si>
    <t xml:space="preserve">The job "book" and reports</t>
  </si>
  <si>
    <t xml:space="preserve">Large lists are probably cut off at 1,000 rows, which silently drops costs from jobs and reports</t>
  </si>
  <si>
    <t xml:space="preserve">Finance lists now load in pages of 1,000 with no cap. (Assumes the server's row cap is 1,000 or more.)</t>
  </si>
  <si>
    <t xml:space="preserve">finance-done: 900:38 finSelectAll; 911:14 and 15 other files</t>
  </si>
  <si>
    <t xml:space="preserve">911:20-36 (limit=5000/10000/20000/50000), 9219b:111-115, 9219:97-101, 9219zi:19. dbSelect (060:88-122) never pages. There is no dbSelectAll anywhere.</t>
  </si>
  <si>
    <t xml:space="preserve">It doesn't bite yet: live data is 51 sign-ins and 10 purchase invoices in total. It still needs paging, or a server-side aggregate, before real volumes arrive.</t>
  </si>
  <si>
    <t xml:space="preserve">FA-06</t>
  </si>
  <si>
    <t xml:space="preserve">Subcontract applications (CIS)</t>
  </si>
  <si>
    <t xml:space="preserve">CIS on subcontractor applications is worked out after contra charges are taken off</t>
  </si>
  <si>
    <t xml:space="preserve">912:210-228: gross = net + contraNow, labour = gross − newMat, cis = labour × rate. 912:279-283 stores gross and labour before the contra on fin_sub_payments.</t>
  </si>
  <si>
    <t xml:space="preserve">The fix introduced a problem: NEW-01. The deployed Xero push_sub_payment now posts a bill that includes the contra, so Xero leaves the contra amount owing.</t>
  </si>
  <si>
    <t xml:space="preserve">FB-01</t>
  </si>
  <si>
    <t xml:space="preserve">Finance 9219i-922</t>
  </si>
  <si>
    <t xml:space="preserve">Finance lists: automatic totals bar, Title Case and column filters</t>
  </si>
  <si>
    <t xml:space="preserve">Totals-bar observer re-triggers itself every 60 ms, forever</t>
  </si>
  <si>
    <t xml:space="preserve">9219x:114-117: the observer ignores mutations inside .finautofoot/.finsfoot/.fcf-row/.navcrumbs and added nodes of those classes.</t>
  </si>
  <si>
    <t xml:space="preserve">FB-02</t>
  </si>
  <si>
    <t xml:space="preserve">Applications for payment: autosave</t>
  </si>
  <si>
    <t xml:space="preserve">Application autosave doesn't record what it saved, so the next redraw throws away unsaved changes (e.g. "Use site progress")</t>
  </si>
  <si>
    <t xml:space="preserve">9219ze:36: after a successful PATCH, finApp.__loaded is set to the returned updated_at, so 902:494 keeps the in-memory copy. 9219ze:76-81 queues an autosave after "Use site progress".</t>
  </si>
  <si>
    <t xml:space="preserve">A tiny race remains: a render that lands while an autosave is still in flight can still reload.</t>
  </si>
  <si>
    <t xml:space="preserve">FB-03</t>
  </si>
  <si>
    <t xml:space="preserve">Variations register ↔ draft applications</t>
  </si>
  <si>
    <t xml:space="preserve">Draft application counts a site variation twice after it is imported into the register</t>
  </si>
  <si>
    <t xml:space="preserve">9219s:269-273 links variation_id-only rows to their register copy (sets fin_variation_id) before deciding what to add.</t>
  </si>
  <si>
    <t xml:space="preserve">FB-04</t>
  </si>
  <si>
    <t xml:space="preserve">Application / Certificate summary after certification</t>
  </si>
  <si>
    <t xml:space="preserve">Certified applications show wrong "Certified" figures in the summary (£0 on older certificates; variations taken from the previous certificate)</t>
  </si>
  <si>
    <t xml:space="preserve">9219p:941-969 (fix 16): when cert_net is set, the Certified column comes from cert_gross/cert_discount/cert_retention/cert_previous/cert_net. Line splits come from cert_lines when present, otherwise a dash. 9219p:971-979 reads the application's own cert_lines for vars and days.</t>
  </si>
  <si>
    <t xml:space="preserve">FB-05</t>
  </si>
  <si>
    <t xml:space="preserve">Whole app (statements reader)</t>
  </si>
  <si>
    <t xml:space="preserve">A regex lookbehind in the statements file can stop the whole app loading on older iPhones</t>
  </si>
  <si>
    <t xml:space="preserve">9219l:39-40: the lookbehind is built with new RegExp inside try/catch, with a fallback. No other lookbehind literal is left in src/js (grep).</t>
  </si>
  <si>
    <t xml:space="preserve">PB-01</t>
  </si>
  <si>
    <t xml:space="preserve">Projects 590-890</t>
  </si>
  <si>
    <t xml:space="preserve">H&amp;S Policy sign-in gate re-appears on every app launch after the annual re-sign</t>
  </si>
  <si>
    <t xml:space="preserve">640:143 sigs.filter(s=&gt;s.user_id===ME.id).pop() (newest)</t>
  </si>
  <si>
    <t xml:space="preserve">CORE-M1</t>
  </si>
  <si>
    <t xml:space="preserve">Token / secret handling</t>
  </si>
  <si>
    <t xml:space="preserve">Integrations loads onedrive_connections with select=* (no column list) just to check odConn.access_token. Any admin's browser therefore rece</t>
  </si>
  <si>
    <t xml:space="preserve">260:112 select=org_id,account_email,folder_path,connected_at; 260:286 tests odConn only</t>
  </si>
  <si>
    <t xml:space="preserve">Column grants on the token columns are still Needs check (server). Devices that opened Integrations before the fix still have the full row cached (see NEW-2).</t>
  </si>
  <si>
    <t xml:space="preserve">CORE-M2</t>
  </si>
  <si>
    <t xml:space="preserve">Remember-me password</t>
  </si>
  <si>
    <t xml:space="preserve">"Remember my email &amp; password" stores the password in plain text in localStorage.ophub_remember. doSignOut never clears it, and the login fo</t>
  </si>
  <si>
    <t xml:space="preserve">"Remember me" now keeps the email only. Any old saved password is wiped when the app starts.</t>
  </si>
  <si>
    <t xml:space="preserve">core-done: 040:44-60, 140:76-135, 070:80 (499b04b)</t>
  </si>
  <si>
    <t xml:space="preserve">140-login.js:133 stores {email, password}; 140:74 pre-fills the password; 070:66-80 doSignOut never removes ophub_remember</t>
  </si>
  <si>
    <t xml:space="preserve">CORE-M4</t>
  </si>
  <si>
    <t xml:space="preserve">Wrong counts (roster includes people who can't sign)</t>
  </si>
  <si>
    <t xml:space="preserve">The RAMS "outstanding" roster is every site_assignments user (operatives plus clients, drivers, site managers, PMs). Clients are view-only a</t>
  </si>
  <si>
    <t xml:space="preserve">RAMS "outstanding" now lists operatives only.</t>
  </si>
  <si>
    <t xml:space="preserve">core-done: 190:113-115, 200:114, 230:62</t>
  </si>
  <si>
    <t xml:space="preserve">190:84 rosterBySite = every assignment (RAMS uses it at 190:113); 200:77-78; 230:39-40, 61</t>
  </si>
  <si>
    <t xml:space="preserve">Only the COSHH roster (190:91-92) is limited to operatives.</t>
  </si>
  <si>
    <t xml:space="preserve">CORE-M5</t>
  </si>
  <si>
    <t xml:space="preserve">Data cut off at 1000 rows</t>
  </si>
  <si>
    <t xml:space="preserve">These queries have no limit (or a limit above the server cap) and are sorted oldest first. If the project uses Supabase's default max_rows =</t>
  </si>
  <si>
    <t xml:space="preserve">Check-in, PPE and holiday lists load in pages of 1,000, so nothing is cut off. "On site now" uses the latest check-in.</t>
  </si>
  <si>
    <t xml:space="preserve">core-done: 060:187 dbSelectAll; 260:161/170; 186:100; 185:507. Assumes the server row cap is 1,000 (not confirmed).</t>
  </si>
  <si>
    <t xml:space="preserve">260:159 (checkins, asc, no limit), 260:166, 185:505 (asc, no limit), 186:65 limit=2000</t>
  </si>
  <si>
    <t xml:space="preserve">dbSelectNet (060:105) does no paging.</t>
  </si>
  <si>
    <t xml:space="preserve">CORE-M6</t>
  </si>
  <si>
    <t xml:space="preserve">Signed out because storage is full</t>
  </si>
  <si>
    <t xml:space="preserve">On the web, every successful dbSelect response (up to 300 whole result sets), the signed-link map (up to 4000 URLs) and the boot snapshot al</t>
  </si>
  <si>
    <t xml:space="preserve">If the phone's storage is full, the app clears old saved copies so the sign-in still saves.</t>
  </si>
  <si>
    <t xml:space="preserve">core-done: 050:105 persistSession; 060:57-89</t>
  </si>
  <si>
    <t xml:space="preserve">050:76 await setJSON(K_SESSION…) result not checked; 040:39 sset returns false/null on failure; 060:21 cap is 300 entries, not bytes</t>
  </si>
  <si>
    <t xml:space="preserve">CORE-M8</t>
  </si>
  <si>
    <t xml:space="preserve">Calendar export on the phone app</t>
  </si>
  <si>
    <t xml:space="preserve">deliverIcsFile calls window.open(publicUrl('site-photos', …), '_system'). Once site-photos is private, the 065 wrapper opens about:blank fir</t>
  </si>
  <si>
    <t xml:space="preserve">Calendar files open through a signed link and never leave a blank page.</t>
  </si>
  <si>
    <t xml:space="preserve">core-done: 060:605-608, 065:184-197</t>
  </si>
  <si>
    <t xml:space="preserve">060:505 window.open(publicUrl('site-photos', stored), '_system'); 065:181 falls back to location.href = u</t>
  </si>
  <si>
    <t xml:space="preserve">The 065 wrapper runs even while the bucket is public (065:17-18), so this can happen now whenever no signed link is cached.</t>
  </si>
  <si>
    <t xml:space="preserve">FA-08</t>
  </si>
  <si>
    <t xml:space="preserve">Retention card, Sales › Retention, the retention ledger, forecast retHeld, and the home tile "Retention held by clients"</t>
  </si>
  <si>
    <t xml:space="preserve">"Retention held" never goes down after retention release invoices</t>
  </si>
  <si>
    <t xml:space="preserve">"Still held" retention is used everywhere: home tile, ledger and reports.</t>
  </si>
  <si>
    <t xml:space="preserve">finance-done: 911:170, 913:64, 914:91</t>
  </si>
  <si>
    <t xml:space="preserve">New finRetentionReleased / finRetentionStillHeld at 903:151-156. Used by the project tile (9219n:210, 9219q:37), the Retention card (9219n:263), Sales › Retention (9219:140) and the Detailed Summary (9219v:39).</t>
  </si>
  <si>
    <t xml:space="preserve">Still gross held in three places: the home "Retention held by clients" (914:89-90), the Retention ledger report (913:64) and the forecast/overview retHeld (911:168, which feeds the 913 overview "Retention held" column).</t>
  </si>
  <si>
    <t xml:space="preserve">FA-09</t>
  </si>
  <si>
    <t xml:space="preserve">Applications</t>
  </si>
  <si>
    <t xml:space="preserve">After an earlier certificate comes in lower, a later submitted application shows a different amount due on screen than in its stored figures and Excel, and "Email again" silently rewrites it</t>
  </si>
  <si>
    <t xml:space="preserve">902:496-500: a locked application uses the stored a.previous, and only drafts recompute it. There is an orange note when the live figure differs. 902:822: "Email again" only saves drafts. The 9219p:74/388 saves need #finAppSave, which a locked application doesn't render (902:552). The 9219ze autosave is off when locked (9219ze:10).</t>
  </si>
  <si>
    <t xml:space="preserve">FA-10</t>
  </si>
  <si>
    <t xml:space="preserve">Xero sync (sales invoices)</t>
  </si>
  <si>
    <t xml:space="preserve">Xero works out VAT line by line, OpHUB on the whole invoice, so totals can differ by a penny or two</t>
  </si>
  <si>
    <t xml:space="preserve">901:30-33 rounds VAT per line (finRound(a*c.r/100)) before summing, as Xero does.</t>
  </si>
  <si>
    <t xml:space="preserve">Old issued invoices are recomputed on screen from their lines and may now show 1p different from their stored total. The deployed edge function's 2p warning threshold is unchanged.</t>
  </si>
  <si>
    <t xml:space="preserve">FA-11</t>
  </si>
  <si>
    <t xml:space="preserve">Xero sync (bills, operative invoices)</t>
  </si>
  <si>
    <t xml:space="preserve">Records already in Xero can still be changed, cancelled or rejected in OpHUB, leaving Xero out of step</t>
  </si>
  <si>
    <t xml:space="preserve">Changing a record already in Xero is blocked unless you confirm you will change Xero too; with no signal it stops.</t>
  </si>
  <si>
    <t xml:space="preserve">finance-done: 904:314-332, 910:169, 9219g:211-220, 917:127-207</t>
  </si>
  <si>
    <t xml:space="preserve">It warns rather than blocks. finXeroPostedConfirm (904:312-317) is used for Reject (904:319), line coding (9219g:189-190), and operative invoice Save and Cancel (9219g:203-222).</t>
  </si>
  <si>
    <t xml:space="preserve">Edit, Cancel and Reject are still possible on records already in Xero, and nothing is pushed to Xero. The Split / allocate pop-up (917 openFinSplit) still has no warning.</t>
  </si>
  <si>
    <t xml:space="preserve">FA-12</t>
  </si>
  <si>
    <t xml:space="preserve">Invoices</t>
  </si>
  <si>
    <t xml:space="preserve">The Sales page deletes anyone's brand-new invoice draft while they are still typing it</t>
  </si>
  <si>
    <t xml:space="preserve">9219:82-90 only deletes empty drafts that are yours and over 24 h old, or anyone's over 7 days. 901:211 and 232 toast "This draft no longer exists" when the update matches 0 rows.</t>
  </si>
  <si>
    <t xml:space="preserve">Side effect, see NEW-05: young empty drafts are hidden from the list but not deleted.</t>
  </si>
  <si>
    <t xml:space="preserve">FA-13</t>
  </si>
  <si>
    <t xml:space="preserve">Labour / job costs</t>
  </si>
  <si>
    <t xml:space="preserve">Materials supplied by operatives are never charged to any job</t>
  </si>
  <si>
    <t xml:space="preserve">911:75-86 adds a "Materials supplied by operative" cost line (cat materials), shared by labour value across the invoice's job lines. It feeds the costs ledger, forecast and reports.</t>
  </si>
  <si>
    <t xml:space="preserve">The Labour card (finJobLabour, 9219c) leaves it out on purpose.</t>
  </si>
  <si>
    <t xml:space="preserve">FA-14</t>
  </si>
  <si>
    <t xml:space="preserve">Subcontract CIS</t>
  </si>
  <si>
    <t xml:space="preserve">Marking a subcontract application paid doesn't check that its CIS record was saved</t>
  </si>
  <si>
    <t xml:space="preserve">912:268-296 checks for an existing CIS row with dbSelectChecked and inserts fin_sub_payments first. The application is only marked paid after that row saves. A paid application with no CIS row gets an "Add it to the CIS return" button (912:203-207).</t>
  </si>
  <si>
    <t xml:space="preserve">There is no unique index on fin_sub_payments(sub_app_id) (DB check). The once-guard covers double taps.</t>
  </si>
  <si>
    <t xml:space="preserve">FA-16</t>
  </si>
  <si>
    <t xml:space="preserve">Numbering</t>
  </si>
  <si>
    <t xml:space="preserve">Application, variation and subcontract numbers are worked out in the browser as "last + 1", so two people can get the same number</t>
  </si>
  <si>
    <t xml:space="preserve">Numbers retry if someone takes the same one at the same moment, and the database now refuses duplicates.</t>
  </si>
  <si>
    <t xml:space="preserve">finance-done: 912:100, 911:393, 9219s:244; unique indexes applied 25 Oct</t>
  </si>
  <si>
    <t xml:space="preserve">Applications: 902:460-476 retries on 409, backed by DB unique fin_applications_site_id_number_key, so this part works. Variations: 9219s:326-345 renumbers after the insert if it finds a clash. Subcontracts / sub applications: 912:93-109 retry on 409.</t>
  </si>
  <si>
    <t xml:space="preserve">There are no unique indexes on fin_variations(site_id,seq), fin_subcontracts(site_id,seq) or fin_sub_apps(subcontract_id,number) (DB check), so the 912 retry never fires. The variation check-and-renumber can still race three ways. Day works (saveFinDaywork) are not covered.</t>
  </si>
  <si>
    <t xml:space="preserve">FA-17</t>
  </si>
  <si>
    <t xml:space="preserve">Wage pushes / PM Price tile</t>
  </si>
  <si>
    <t xml:space="preserve">Wage pushes booked on a price are never removed from that price when withdrawn, and re-sending books them twice (dormant in trial)</t>
  </si>
  <si>
    <t xml:space="preserve">9217:44-58 finWagePushWithdraw sets the push to withdrawn and amount 0, and zeroes its price entry (with a roll-up when there is no price sheet). It is used by 9217:36 and 9219c:236. 9217:105-113 locks the buttons while booking and re-reads the push (dbSelectNet, status must be pending).</t>
  </si>
  <si>
    <t xml:space="preserve">A re-book creates a new entry; the old one stays at £0, so nothing is double-counted.</t>
  </si>
  <si>
    <t xml:space="preserve">FA-18</t>
  </si>
  <si>
    <t xml:space="preserve">Project summary / reports</t>
  </si>
  <si>
    <t xml:space="preserve">The forecast's "Expected final value" includes variations not yet agreed, but the label says agreed only</t>
  </si>
  <si>
    <t xml:space="preserve">Labels now say the forecast includes submitted variations, and show how much.</t>
  </si>
  <si>
    <t xml:space="preserve">finance-done: 911:223, 9219zm:43/88, 9219q, 9219zj:64</t>
  </si>
  <si>
    <t xml:space="preserve">Only the 913 report column labels changed: "(incl. submitted variations)" at 913:28, 33 and 38.</t>
  </si>
  <si>
    <t xml:space="preserve">Still in place: 911:142 ffa = contract + vAgreed + vPending and 911:221 "Contract plus agreed variations". New instance: 9219zj:64 headline subline (NEW-02).</t>
  </si>
  <si>
    <t xml:space="preserve">FA-19</t>
  </si>
  <si>
    <t xml:space="preserve">Retention</t>
  </si>
  <si>
    <t xml:space="preserve">Retention release invoices ignore later certificates that change the amount held</t>
  </si>
  <si>
    <t xml:space="preserve">903:139-147 finRetHalfAmt: the second half is held minus the first-half invoice's net, and an invoiced half shows its invoice amount. Used in 903:204 (raise) and 9219n:264 (card). If nothing is left to release, raising says so (903:205).</t>
  </si>
  <si>
    <t xml:space="preserve">FA-20</t>
  </si>
  <si>
    <t xml:space="preserve">Job finance page / plant</t>
  </si>
  <si>
    <t xml:space="preserve">The first job-cost card on the project page counts plant hire twice when its cost comes from the hire company's invoices</t>
  </si>
  <si>
    <t xml:space="preserve">Plant hire costed from the hire company's invoices is no longer counted twice.</t>
  </si>
  <si>
    <t xml:space="preserve">finance-done: 900:278, 917:90</t>
  </si>
  <si>
    <t xml:space="preserve">910:229-245 wraps finPlantCardHtml to leave invoice-costed hires out of "Plant to date".</t>
  </si>
  <si>
    <t xml:space="preserve">Still unfiltered: 900:229 (hires.reduce(...finPlantCost) in the first job-cost card) and 917:89 (FIN_SPLIT_TABLES.fin_plant_hires.net, the value in the split pop-up).</t>
  </si>
  <si>
    <t xml:space="preserve">FB-06</t>
  </si>
  <si>
    <t xml:space="preserve">922 once-guard × Xero auto-post</t>
  </si>
  <si>
    <t xml:space="preserve">The once-guard silently drops Xero posts that overlap (bulk approve posts only the first bill)</t>
  </si>
  <si>
    <t xml:space="preserve">922:19: the guard key for finXeroPush is name+kind+id. finXeroAuto (907:150) calls it by global name, so it gets the wrapped version.</t>
  </si>
  <si>
    <t xml:space="preserve">FB-07</t>
  </si>
  <si>
    <t xml:space="preserve">Bill of Quantities autosave</t>
  </si>
  <si>
    <t xml:space="preserve">BoQ autosave can duplicate the whole Bill of Quantities (a failed read, or overlapping with Save)</t>
  </si>
  <si>
    <t xml:space="preserve">9219n:507-509 uses a checked read that throws if it fails. 9219n:531-539: manual Save waits for a running autosave and blocks autosave while it runs.</t>
  </si>
  <si>
    <t xml:space="preserve">FB-08</t>
  </si>
  <si>
    <t xml:space="preserve">Certify</t>
  </si>
  <si>
    <t xml:space="preserve">Certificate save wrapper writes or wipes cert_lines before validating, and loses them if the save is retried</t>
  </si>
  <si>
    <t xml:space="preserve">9219n:876-880 only writes cert_lines when finCertLines is set, never null, and no longer clears it. A retry therefore keeps the lines.</t>
  </si>
  <si>
    <t xml:space="preserve">It is still a separate write made before the base save validates. Harmless: it is overwritten on a successful certify.</t>
  </si>
  <si>
    <t xml:space="preserve">FB-09</t>
  </si>
  <si>
    <t xml:space="preserve">Certify from client's Excel</t>
  </si>
  <si>
    <t xml:space="preserve">Uploading the client's certificate Excel ignores their variation and day-work figures</t>
  </si>
  <si>
    <t xml:space="preserve">9219p:367-370: the base returns variation (var_index) and day-work (day_index) lines. The wrapper at 9219p:590-598 copies them into W.vars / W.days before finCertRecalc().</t>
  </si>
  <si>
    <t xml:space="preserve">FB-10</t>
  </si>
  <si>
    <t xml:space="preserve">Project Overview › Needs attention</t>
  </si>
  <si>
    <t xml:space="preserve">"Needs attention" buttons double-escape the client name, so names with &amp;, ' or " break</t>
  </si>
  <si>
    <t xml:space="preserve">9219n:234 builds js with _jsEsc (JS-only escaping). 9219n:237 escapes it once for HTML.</t>
  </si>
  <si>
    <t xml:space="preserve">FB-11</t>
  </si>
  <si>
    <t xml:space="preserve">Invoices: client default VAT</t>
  </si>
  <si>
    <t xml:space="preserve">Reopening a saved draft invoice silently changes its line VAT to the client's default</t>
  </si>
  <si>
    <t xml:space="preserve">9219n:937-939: the client default replaces l.vat===dflt only when updated_at===created_at. DB: both columns default to now(), and saveFinInvoiceDraft sets updated_at (901:204).</t>
  </si>
  <si>
    <t xml:space="preserve">FB-12</t>
  </si>
  <si>
    <t xml:space="preserve">Finance list filters (CSS)</t>
  </si>
  <si>
    <t xml:space="preserve">Filter bars and search boxes are hidden on Purchases, Directory › Suppliers and Yard stock (nothing left to filter with on phones)</t>
  </si>
  <si>
    <t xml:space="preserve">9219s:315-319 scopes the hiding rules to .finprojfilt (914:158). Other .finjobfilt bars show on phones.</t>
  </si>
  <si>
    <t xml:space="preserve">On desktop (≥701px), every non-project filter bar is still hidden in favour of the column filters. That includes the Purchases "Sort" drop-down and the search box that 9219k moves into the bar.</t>
  </si>
  <si>
    <t xml:space="preserve">FB-13</t>
  </si>
  <si>
    <t xml:space="preserve">Yard stock (Finance and Material Requests)</t>
  </si>
  <si>
    <t xml:space="preserve">Yard pop-ups can open behind the one you tapped from</t>
  </si>
  <si>
    <t xml:space="preserve">9219m:108, 170 and 234: each yard overlay calls document.body.appendChild(ov) when it opens, so it ends up on top.</t>
  </si>
  <si>
    <t xml:space="preserve">FB-14</t>
  </si>
  <si>
    <t xml:space="preserve">Application Excel round trip</t>
  </si>
  <si>
    <t xml:space="preserve">Uploading the same application Excel twice adds the new lines twice</t>
  </si>
  <si>
    <t xml:space="preserve">finXlSameLine at 9219n:789 is used in the old layout (9219n:810) and the new one (9219p:333-336, items, variations and day works).</t>
  </si>
  <si>
    <t xml:space="preserve">A genuinely new line with the same description and value as an existing one is now skipped too. The toast does say how many lines were skipped.</t>
  </si>
  <si>
    <t xml:space="preserve">PA-01</t>
  </si>
  <si>
    <t xml:space="preserve">Site reports</t>
  </si>
  <si>
    <t xml:space="preserve">Report multi-select carries over between jobs</t>
  </si>
  <si>
    <t xml:space="preserve">Ticked reports are cleared when you open another job.</t>
  </si>
  <si>
    <t xml:space="preserve">projA-done: 430:66, 430:90 (160eed7)</t>
  </si>
  <si>
    <t xml:space="preserve">430:6 global Set; 430:241-252 deletes every ticked id, whatever the site</t>
  </si>
  <si>
    <t xml:space="preserve">Same set is shared with PM Home's report list (185:267-321). Reports ticked there across several jobs show up as "Delete N Selected" on any job's Reports page. The activity log goes to the site on screen.</t>
  </si>
  <si>
    <t xml:space="preserve">PA-02</t>
  </si>
  <si>
    <t xml:space="preserve">Site reports / Daily briefings</t>
  </si>
  <si>
    <t xml:space="preserve">Reports list includes Daily Briefings, MC inspections and LOLER, and signed briefings can be edited from there</t>
  </si>
  <si>
    <t xml:space="preserve">Daily briefings are out of the Reports list, and a signed briefing opens read-only. (The database doesn't block edits yet.)</t>
  </si>
  <si>
    <t xml:space="preserve">projA-done: 430:77, 430:302</t>
  </si>
  <si>
    <t xml:space="preserve">430:62 report_submissions?site_id=eq.X with no template-flag filter; 430:61 template list unfiltered</t>
  </si>
  <si>
    <t xml:space="preserve">Fill lock still only on the briefing route.</t>
  </si>
  <si>
    <t xml:space="preserve">PA-03</t>
  </si>
  <si>
    <t xml:space="preserve">Daily briefings</t>
  </si>
  <si>
    <t xml:space="preserve">Emailed briefing PDF has no signatures</t>
  </si>
  <si>
    <t xml:space="preserve">The emailed briefing PDF now includes the signatures.</t>
  </si>
  <si>
    <t xml:space="preserve">projA-done: 430:1789</t>
  </si>
  <si>
    <t xml:space="preserve">430:1099 Email → emailReportPDF; 430:1766 buildReportPdf (no signatures); 430:1774 reuses built.storedPath</t>
  </si>
  <si>
    <t xml:space="preserve">Bulk email (700:227-262) does use buildBriefingPdfWithSignatures.</t>
  </si>
  <si>
    <t xml:space="preserve">PA-04</t>
  </si>
  <si>
    <t xml:space="preserve">Price builder → pricing elements</t>
  </si>
  <si>
    <t xml:space="preserve">Issued price-builder sheet can be invisible on multi-site jobs</t>
  </si>
  <si>
    <t xml:space="preserve">On a job with several addresses, issuing a price sheet asks which address it is for.</t>
  </si>
  <si>
    <t xml:space="preserve">projA-done: 400:736, 400:818</t>
  </si>
  <si>
    <t xml:space="preserve">400:742 sub_site_id: …multi_site ? (priceSubAddrSelected[siteId]||null) : null</t>
  </si>
  <si>
    <t xml:space="preserve">No check that an address is chosen.</t>
  </si>
  <si>
    <t xml:space="preserve">PA-05</t>
  </si>
  <si>
    <t xml:space="preserve">Report templates</t>
  </si>
  <si>
    <t xml:space="preserve">Deleting a template question leaves its follow-ups hidden for good</t>
  </si>
  <si>
    <t xml:space="preserve">Deleting a question with follow-ups now asks what to do with them.</t>
  </si>
  <si>
    <t xml:space="preserve">projA-done: 420:510, 420:375</t>
  </si>
  <si>
    <t xml:space="preserve">420:505-508 plain splice; 420:375-382 move has no parent check</t>
  </si>
  <si>
    <t xml:space="preserve">PA-06</t>
  </si>
  <si>
    <t xml:space="preserve">RAMS library / RAMS builder</t>
  </si>
  <si>
    <t xml:space="preserve">Renaming a RAMS library item silently removes it from every template</t>
  </si>
  <si>
    <t xml:space="preserve">Renaming a RAMS library item renames it in every template too.</t>
  </si>
  <si>
    <t xml:space="preserve">projA-done: 588:127, 586:149</t>
  </si>
  <si>
    <t xml:space="preserve">588:127 renames title only; 586:117 byTitle match</t>
  </si>
  <si>
    <t xml:space="preserve">PA-07</t>
  </si>
  <si>
    <t xml:space="preserve">COSHH builder</t>
  </si>
  <si>
    <t xml:space="preserve">COSHH data-sheet upload overwrites an existing product with the same name</t>
  </si>
  <si>
    <t xml:space="preserve">A data sheet only updates a product with the same name and maker, and only fills blank boxes.</t>
  </si>
  <si>
    <t xml:space="preserve">projA-done: 589-coshh-builder-ui:267</t>
  </si>
  <si>
    <t xml:space="preserve">589-coshh-builder-ui.js:283-284 replaces data wholesale on a title-only match</t>
  </si>
  <si>
    <t xml:space="preserve">PA-08</t>
  </si>
  <si>
    <t xml:space="preserve">Permits</t>
  </si>
  <si>
    <t xml:space="preserve">Permit can be closed with no sign-off by the people assigned</t>
  </si>
  <si>
    <t xml:space="preserve">A permit can't be closed without sign-offs unless a manager confirms; the override is logged.</t>
  </si>
  <si>
    <t xml:space="preserve">projA-done: 520:271</t>
  </si>
  <si>
    <t xml:space="preserve">520:165 canClose ignores sign-offs; 520:259-279 closePermit doesn't check them</t>
  </si>
  <si>
    <t xml:space="preserve">PA-09</t>
  </si>
  <si>
    <t xml:space="preserve">Check-in/out</t>
  </si>
  <si>
    <t xml:space="preserve">Check-in "full history" export may be cut short</t>
  </si>
  <si>
    <t xml:space="preserve">The check-in export loads in pages, so it is complete.</t>
  </si>
  <si>
    <t xml:space="preserve">projA-done: 450:314</t>
  </si>
  <si>
    <t xml:space="preserve">450:268-270 one dbSelect order=ts.asc, no paging</t>
  </si>
  <si>
    <t xml:space="preserve">PA-10</t>
  </si>
  <si>
    <t xml:space="preserve">Assign team / OneDrive</t>
  </si>
  <si>
    <t xml:space="preserve">Assign Team reads the OneDrive access token into the browser</t>
  </si>
  <si>
    <t xml:space="preserve">380:12 select=org_id; 380:21 row-exists check</t>
  </si>
  <si>
    <t xml:space="preserve">See NEW-1 about "connected" now meaning "row exists".</t>
  </si>
  <si>
    <t xml:space="preserve">PA-12</t>
  </si>
  <si>
    <t xml:space="preserve">Certifications</t>
  </si>
  <si>
    <t xml:space="preserve">Cert bundle and preview detect the file type from the display name</t>
  </si>
  <si>
    <t xml:space="preserve">The certificate file type is read from the file itself, not its display name.</t>
  </si>
  <si>
    <t xml:space="preserve">projA-done: 320:186, 320:367-380</t>
  </si>
  <si>
    <t xml:space="preserve">320:363, 367 test c.name; 320:245 tests the display name</t>
  </si>
  <si>
    <t xml:space="preserve">certDisplayName (320:173) helps null names on screen only.</t>
  </si>
  <si>
    <t xml:space="preserve">PA-13</t>
  </si>
  <si>
    <t xml:space="preserve">Activity history</t>
  </si>
  <si>
    <t xml:space="preserve">Activity history person filter persists across jobs</t>
  </si>
  <si>
    <t xml:space="preserve">Activity history filters reset when you change job.</t>
  </si>
  <si>
    <t xml:space="preserve">projA-done: 385:17</t>
  </si>
  <si>
    <t xml:space="preserve">385:8 global; 385:35 select hidden when ≤1 person</t>
  </si>
  <si>
    <t xml:space="preserve">PA-15</t>
  </si>
  <si>
    <t xml:space="preserve">Assign team</t>
  </si>
  <si>
    <t xml:space="preserve">Removing an operative from a job leaves the subcontractor link, and silent delete failures look like success</t>
  </si>
  <si>
    <t xml:space="preserve">Removing someone checks it worked and also removes their subcontractor link for that job.</t>
  </si>
  <si>
    <t xml:space="preserve">projA-done: 380:367</t>
  </si>
  <si>
    <t xml:space="preserve">380:365 raw DELETE (no empty-result check); subcontractor_operatives untouched</t>
  </si>
  <si>
    <t xml:space="preserve">PA-16</t>
  </si>
  <si>
    <t xml:space="preserve">Snagging</t>
  </si>
  <si>
    <t xml:space="preserve">Snag draft carries over to other jobs</t>
  </si>
  <si>
    <t xml:space="preserve">Each job keeps its own half-written snag.</t>
  </si>
  <si>
    <t xml:space="preserve">projA-done: 500:12</t>
  </si>
  <si>
    <t xml:space="preserve">500:3-5 global draft; 500:147-157 saves it on whichever siteId</t>
  </si>
  <si>
    <t xml:space="preserve">PA-33</t>
  </si>
  <si>
    <t xml:space="preserve">Check-in/out, multi-site check-in</t>
  </si>
  <si>
    <t xml:space="preserve">Check-in double tap and closed addresses</t>
  </si>
  <si>
    <t xml:space="preserve">Check-in reads the latest record first: no double check-ins and none at closed addresses.</t>
  </si>
  <si>
    <t xml:space="preserve">projA-done: 450:161, 450:261</t>
  </si>
  <si>
    <t xml:space="preserve">450:158-262: no check for a closed address or an already-open check-in</t>
  </si>
  <si>
    <t xml:space="preserve">The double-tap part was wrong: both functions are in the 890:464 wrapper and set checkinBusy.</t>
  </si>
  <si>
    <t xml:space="preserve">PB-02</t>
  </si>
  <si>
    <t xml:space="preserve">Ticked Material Requests carry over to other jobs and get sent under the wrong job</t>
  </si>
  <si>
    <t xml:space="preserve">Ticks and supplier are cleared when you open another job, and only this job's items are sent.</t>
  </si>
  <si>
    <t xml:space="preserve">projB-done: 890:11-26, 890:251, 760:590-594 (7579042)</t>
  </si>
  <si>
    <t xml:space="preserve">720:39 global; 720:146-160 no reset on site change; 760:590 uses the on-screen siteId</t>
  </si>
  <si>
    <t xml:space="preserve">730:17, 700:12 and 650:21 are the same.</t>
  </si>
  <si>
    <t xml:space="preserve">PB-03</t>
  </si>
  <si>
    <t xml:space="preserve">HAVS day badge adds up all operatives' points, so "ELV EXCEEDED" is shown wrongly</t>
  </si>
  <si>
    <t xml:space="preserve">The HAVS day badge uses the highest single person and shows how many are over.</t>
  </si>
  <si>
    <t xml:space="preserve">projB-done: 660:473-479</t>
  </si>
  <si>
    <t xml:space="preserve">660:432 sums every operative's entries; 660:443-444 compares the sum with 400/100</t>
  </si>
  <si>
    <t xml:space="preserve">PB-04</t>
  </si>
  <si>
    <t xml:space="preserve">HAVS minutes typed in are lost unless the user closes the day or changes week</t>
  </si>
  <si>
    <t xml:space="preserve">HAVS minutes save when you leave the page, put the app away, or press the new Save Minutes.</t>
  </si>
  <si>
    <t xml:space="preserve">projB-done: 660:214-246, 890:72-74</t>
  </si>
  <si>
    <t xml:space="preserve">660:52 drafts in memory; flushed only at 660:78, 270, 1005; no flush in go()/router</t>
  </si>
  <si>
    <t xml:space="preserve">PB-05</t>
  </si>
  <si>
    <t xml:space="preserve">LOLER entries can't be opened by operatives even when the tile is shown to them</t>
  </si>
  <si>
    <t xml:space="preserve">Operatives can open LOLER entries (read-only) on their job.</t>
  </si>
  <si>
    <t xml:space="preserve">projB-done: 890:346-356, 750:55-120</t>
  </si>
  <si>
    <t xml:space="preserve">750:98 links to snagging/reports; 890:254 manager-only</t>
  </si>
  <si>
    <t xml:space="preserve">PB-06</t>
  </si>
  <si>
    <t xml:space="preserve">Signed RAMS/COSHH exports include last year's signatures after a re-sign</t>
  </si>
  <si>
    <t xml:space="preserve">Signed RAMS/COSHH PDFs include only this cycle's signatures, one per person.</t>
  </si>
  <si>
    <t xml:space="preserve">projB-done: 610:120-140, 620:358</t>
  </si>
  <si>
    <t xml:space="preserve">610:125 and 620:358 load every signature; no cycle filter</t>
  </si>
  <si>
    <t xml:space="preserve">PB-07</t>
  </si>
  <si>
    <t xml:space="preserve">Single-person messages never appear in any in-app Inbox</t>
  </si>
  <si>
    <t xml:space="preserve">Messages to one person now show in their Inbox and the job's Messages. (Unread badges don't count them yet.)</t>
  </si>
  <si>
    <t xml:space="preserve">projB-done: 830:61-76; badges at 185:465, 200:60, 340:2112 not changed</t>
  </si>
  <si>
    <t xml:space="preserve">830:58 writes audience:'single'; reads only operatives/managers (830:90-94, 256-257; 185:465; 200:60)</t>
  </si>
  <si>
    <t xml:space="preserve">CORE-L1</t>
  </si>
  <si>
    <t xml:space="preserve">Wrong mode from quick search</t>
  </si>
  <si>
    <t xml:space="preserve">Report results check status==='draft' for fill vs view and the "Draft" label. Report statuses are in_progress / submitted (430:71, 154; 435:</t>
  </si>
  <si>
    <t xml:space="preserve">In-progress reports open as drafts again.</t>
  </si>
  <si>
    <t xml:space="preserve">core-done: 136:57</t>
  </si>
  <si>
    <t xml:space="preserve">136-quick-search.js:57 r.status==='draft'</t>
  </si>
  <si>
    <t xml:space="preserve">CORE-L10</t>
  </si>
  <si>
    <t xml:space="preserve">admin.html signs out on any refresh failure</t>
  </si>
  <si>
    <t xml:space="preserve">ensureFreshToken calls clearSession() on any non-OK response (including 429/5xx). A network error throws out of sbFetch with nothing catchin</t>
  </si>
  <si>
    <t xml:space="preserve">The admin console no longer signs you out when the server is busy or the signal drops.</t>
  </si>
  <si>
    <t xml:space="preserve">core-done: admin.html:233-258</t>
  </si>
  <si>
    <t xml:space="preserve">admin.html:241-243 clearSession() on any non-OK response; no try/catch around fetch (232)</t>
  </si>
  <si>
    <t xml:space="preserve">admin.html has no unhandledrejection handler.</t>
  </si>
  <si>
    <t xml:space="preserve">CORE-L2</t>
  </si>
  <si>
    <t xml:space="preserve">Missing org_id filters (relies on RLS only)</t>
  </si>
  <si>
    <t xml:space="preserve">These queries have no org_id=eq.ME.org_id, unlike their neighbours (e.g. the permanent invite on 260:107 has one).</t>
  </si>
  <si>
    <t xml:space="preserve">Lists now show only your own company's invites, people, PPE, check-ins and incidents. Check-ins, incidents and drawings are filtered in the app (the database has no company column on them).</t>
  </si>
  <si>
    <t xml:space="preserve">core-done: 260:106/161-170, 100:490, 230:20-21, 185:93, 136:58</t>
  </si>
  <si>
    <t xml:space="preserve">260:106, 100:482, 230:20, 260:159/166, 185:93/505, 136:53: none has org_id</t>
  </si>
  <si>
    <t xml:space="preserve">136:40 !p.org_id || still passes everyone, because 100:482 doesn't select org_id.</t>
  </si>
  <si>
    <t xml:space="preserve">CORE-L3</t>
  </si>
  <si>
    <t xml:space="preserve">HUB due-date filters</t>
  </si>
  <si>
    <t xml:space="preserve">Messages and SOW photos use their created time as dueDate.</t>
  </si>
  <si>
    <t xml:space="preserve">Messages and SOW photos no longer show as "due".</t>
  </si>
  <si>
    <t xml:space="preserve">core-done: 200:132-183</t>
  </si>
  <si>
    <t xml:space="preserve">200:132 dueDate:new Date(a.latest), 200:139 dueDate: new Date(m.created_at)</t>
  </si>
  <si>
    <t xml:space="preserve">CORE-L4</t>
  </si>
  <si>
    <t xml:space="preserve">Role dropdown shows an unsaved value</t>
  </si>
  <si>
    <t xml:space="preserve">Admin › Users calls setUserRole(id, value) without the sel argument, so on Cancel nothing re-renders.</t>
  </si>
  <si>
    <t xml:space="preserve">Cancelling a role change in Admin › Users now puts the box back.</t>
  </si>
  <si>
    <t xml:space="preserve">core-done: 100:452, 170:153</t>
  </si>
  <si>
    <t xml:space="preserve">100-state.js:444 setUserRole('${p.id}', this.value) (no sel); 170:145 only re-renders if(sel)</t>
  </si>
  <si>
    <t xml:space="preserve">CORE-L5</t>
  </si>
  <si>
    <t xml:space="preserve">Bank holidays run out</t>
  </si>
  <si>
    <t xml:space="preserve">HR_BANK_HOLS is hard-coded to 2026-2028.</t>
  </si>
  <si>
    <t xml:space="preserve">Bank holidays are worked out for any year, not just 2026-28.</t>
  </si>
  <si>
    <t xml:space="preserve">core-done: 186:24-83</t>
  </si>
  <si>
    <t xml:space="preserve">186-hr.js:24-28 2026–2028 only</t>
  </si>
  <si>
    <t xml:space="preserve">CORE-L6</t>
  </si>
  <si>
    <t xml:space="preserve">Unsaved typing lost when signal returns</t>
  </si>
  <si>
    <t xml:space="preserve">The online event calls render() whenever OFFLINE_CACHE_USED. Home/Projects set that flag whenever the phone is offline.</t>
  </si>
  <si>
    <t xml:space="preserve">When signal comes back, a "tap to refresh" pill shows instead of the page redrawing while you type.</t>
  </si>
  <si>
    <t xml:space="preserve">core-done: 060:213-238</t>
  </si>
  <si>
    <t xml:space="preserve">060:141-144 online → if(OFFLINE_CACHE_USED) render()</t>
  </si>
  <si>
    <t xml:space="preserve">CORE-L7</t>
  </si>
  <si>
    <t xml:space="preserve">Previous user's filters kept after sign-out</t>
  </si>
  <si>
    <t xml:space="preserve">resetPerUserState doesn't reset hubFilterPmId, outstandingPmId, siteFilterPmIds, hubFilterSiteId, HR/HR_BH_ENSURED, pmReportsTpl/By.</t>
  </si>
  <si>
    <t xml:space="preserve">Filters are reset when someone else signs in on the same device.</t>
  </si>
  <si>
    <t xml:space="preserve">core-done: 100:23-30</t>
  </si>
  <si>
    <t xml:space="preserve">100-state.js:16-23: none of hubFilterPmId / outstandingPmId / siteFilterPmIds / hubFilterSiteId / HR / pmReportsTpl reset</t>
  </si>
  <si>
    <t xml:space="preserve">CORE-L8</t>
  </si>
  <si>
    <t xml:space="preserve">Emailed file link for a private bucket</t>
  </si>
  <si>
    <t xml:space="preserve">hrEmailPolicy sends file_url: publicUrl('mc-documents', …), and mc-documents is on the private list (065:19).</t>
  </si>
  <si>
    <t xml:space="preserve">The policy email now sends the file's storage path, and send-document-email (redeployed 25 Oct) uses it.</t>
  </si>
  <si>
    <t xml:space="preserve">core-done: 186:456; send-document-email v11 → v12</t>
  </si>
  <si>
    <t xml:space="preserve">186-hr.js:421 file_url: publicUrl('mc-documents', stored)</t>
  </si>
  <si>
    <t xml:space="preserve">send-document-email isn't in the repo (Needs check).</t>
  </si>
  <si>
    <t xml:space="preserve">CORE-L9</t>
  </si>
  <si>
    <t xml:space="preserve">Service worker offline fallback</t>
  </si>
  <si>
    <t xml:space="preserve">Any same-origin page that fails to load (sign.html, admin.html, index.html) falls back to the cached app.html.</t>
  </si>
  <si>
    <t xml:space="preserve">Other pages show a plain "You're offline" page instead of the app.</t>
  </si>
  <si>
    <t xml:space="preserve">core-done: sw.js:14-55</t>
  </si>
  <si>
    <t xml:space="preserve">sw.js:42 hit || caches.match(APP_PAGE) for any same-origin navigation</t>
  </si>
  <si>
    <t xml:space="preserve">FA-21</t>
  </si>
  <si>
    <t xml:space="preserve">Invoice totals</t>
  </si>
  <si>
    <t xml:space="preserve">The PDF and screen VAT rows can be a penny different from the VAT total on mixed-rate invoices</t>
  </si>
  <si>
    <t xml:space="preserve">901:30-36: each rate's VAT row is the sum of rounded line VAT, so the rows add up to vat.</t>
  </si>
  <si>
    <t xml:space="preserve">FA-22</t>
  </si>
  <si>
    <t xml:space="preserve">The application Excel upload (older one-sheet layout) loses the daywork register link, so the daywork is counted twice on the next application</t>
  </si>
  <si>
    <t xml:space="preserve">902:809 Object.assign({}, d, {description, value}) keeps fin_daywork_id.</t>
  </si>
  <si>
    <t xml:space="preserve">FA-23</t>
  </si>
  <si>
    <t xml:space="preserve">Bill of Quantities</t>
  </si>
  <si>
    <t xml:space="preserve">Saving the Bill of Quantities while the connection is bad can duplicate every line</t>
  </si>
  <si>
    <t xml:space="preserve">902:221-223 uses dbSelectChecked. If the read fails it aborts with a toast.</t>
  </si>
  <si>
    <t xml:space="preserve">A row with an id that is missing from existing (deleted elsewhere) is still inserted as new. That is acceptable.</t>
  </si>
  <si>
    <t xml:space="preserve">FA-24</t>
  </si>
  <si>
    <t xml:space="preserve">Reports</t>
  </si>
  <si>
    <t xml:space="preserve">The aged debtors report says "Including VAT" but shows figures without VAT</t>
  </si>
  <si>
    <t xml:space="preserve">913:73 note now says "Excluding VAT (as everywhere in Finance)".</t>
  </si>
  <si>
    <t xml:space="preserve">FA-25</t>
  </si>
  <si>
    <t xml:space="preserve">"Labour by person" shows 0 days for operative invoices</t>
  </si>
  <si>
    <t xml:space="preserve">913:101-107 takes days from the operative invoice line when present. Otherwise the cell is blank (null) and a note explains why.</t>
  </si>
  <si>
    <t xml:space="preserve">Operative invoice lines are saved without days (9219c:186), so in practice the cell is always blank. That is what the fix intends.</t>
  </si>
  <si>
    <t xml:space="preserve">FA-26</t>
  </si>
  <si>
    <t xml:space="preserve">Pay run (finPayLinesFor)</t>
  </si>
  <si>
    <t xml:space="preserve">The pay run's sign-in window is in UTC, so in summer it misses an hour at the start and end of the week</t>
  </si>
  <si>
    <t xml:space="preserve">9218:24: new Date(from+'T00:00:00').toISOString() gives local midnight, sent in UTC, and the window ends exclusively at the next day.</t>
  </si>
  <si>
    <t xml:space="preserve">This assumes the device is on UK time.</t>
  </si>
  <si>
    <t xml:space="preserve">FA-27</t>
  </si>
  <si>
    <t xml:space="preserve">Settings</t>
  </si>
  <si>
    <t xml:space="preserve">Saving settings gives no message if the company-record update is quietly refused</t>
  </si>
  <si>
    <t xml:space="preserve">900:179: undefined (refused) and null (error) from the organizations update each get their own toast, then a re-render.</t>
  </si>
  <si>
    <t xml:space="preserve">FA-28</t>
  </si>
  <si>
    <t xml:space="preserve">Xero bills</t>
  </si>
  <si>
    <t xml:space="preserve">A supplier's whole bill is tracked to one project in Xero even when it is split across projects</t>
  </si>
  <si>
    <t xml:space="preserve">The Xero function v10 (deployed 25 Oct) sends a split bill as one line per project.</t>
  </si>
  <si>
    <t xml:space="preserve">edge deploy 25 Oct: xero v9 → v10</t>
  </si>
  <si>
    <t xml:space="preserve">The repo index.ts:363-388 splits the bill into one line per project. The deployed function (xero v9, checked via the Supabase MCP) still sends a single line tracked to pi.site_id.</t>
  </si>
  <si>
    <t xml:space="preserve">Needs a deploy.</t>
  </si>
  <si>
    <t xml:space="preserve">FA-29</t>
  </si>
  <si>
    <t xml:space="preserve">Purchase invoice form</t>
  </si>
  <si>
    <t xml:space="preserve">The "Possible duplicate" warning stays dismissed after the invoice number is changed</t>
  </si>
  <si>
    <t xml:space="preserve">904:228-235: dupOk holds a supplier</t>
  </si>
  <si>
    <t xml:space="preserve">number key, so changing either re-runs the check. The warning clears if the new number isn't a duplicate.</t>
  </si>
  <si>
    <t xml:space="preserve">FB-15</t>
  </si>
  <si>
    <t xml:space="preserve">"Received To Date" tile includes VAT but is labelled "Excl. VAT"</t>
  </si>
  <si>
    <t xml:space="preserve">9219q:39 counts the net share of paid, capped at the total.</t>
  </si>
  <si>
    <t xml:space="preserve">FB-16</t>
  </si>
  <si>
    <t xml:space="preserve">Issuing from the preview panel turns every confirm dialog into an automatic "yes"</t>
  </si>
  <si>
    <t xml:space="preserve">9219zf:72 calls issueFinInvoice(siteId, true). 901:228 skips only its own confirm, and customConfirm is no longer swapped.</t>
  </si>
  <si>
    <t xml:space="preserve">FB-17</t>
  </si>
  <si>
    <t xml:space="preserve">A PO raised on another job can get this job's plot</t>
  </si>
  <si>
    <t xml:space="preserve">9219zb:146-148: sub is only taken when poSite===n.siteId.</t>
  </si>
  <si>
    <t xml:space="preserve">FB-18</t>
  </si>
  <si>
    <t xml:space="preserve">Phone CSS for the ⋯ column applies to every Finance table</t>
  </si>
  <si>
    <t xml:space="preserve">9219t:78-79: rows without td.finrowdots get their right padding back.</t>
  </si>
  <si>
    <t xml:space="preserve">Older WebKit without :has() keeps the 44px.</t>
  </si>
  <si>
    <t xml:space="preserve">FB-19</t>
  </si>
  <si>
    <t xml:space="preserve">"Send &amp; export" menu can run off the right edge on a phone (Needs check)</t>
  </si>
  <si>
    <t xml:space="preserve">9219t:196-210 wraps finAppMoreMenu and clamps left to the viewport with an 8px margin.</t>
  </si>
  <si>
    <t xml:space="preserve">FB-20</t>
  </si>
  <si>
    <t xml:space="preserve">Esc closes the wrong pop-up, and fires app-wide</t>
  </si>
  <si>
    <t xml:space="preserve">9219z:191-209: the confirm counts as top, otherwise the highest z-index (last one on a tie) wins. It ignores defaultPrevented and the client-suggestion Esc. modalClose clicks .geo-modal-cancel, so customConfirm resolves false.</t>
  </si>
  <si>
    <t xml:space="preserve">FB-21</t>
  </si>
  <si>
    <t xml:space="preserve">Back-button override changes Back on every Projects page for every user (Needs check)</t>
  </si>
  <si>
    <t xml:space="preserve">Decided: the "up one level" Back is for managers only. Operatives and drivers get their own Back again.</t>
  </si>
  <si>
    <t xml:space="preserve">finance-done: 9219v:264 (c473337)</t>
  </si>
  <si>
    <t xml:space="preserve">9219v:161-198: navUpTarget still sends any #/site/&lt;id&gt;/&lt;page&gt; to site home, and site home to #/sites, for every role. Only Finance gets "previous page".</t>
  </si>
  <si>
    <t xml:space="preserve">This is intentional per the code comment (Andy, 23 Oct). It is waiting on his decision for operatives and drivers.</t>
  </si>
  <si>
    <t xml:space="preserve">FB-22</t>
  </si>
  <si>
    <t xml:space="preserve">Changing one statement line reloads everything</t>
  </si>
  <si>
    <t xml:space="preserve">9219l:249-256 and 308: after a save, the page redraws with the statement, candidates and PDF URL it already has (finStmt.quick), with no refetch.</t>
  </si>
  <si>
    <t xml:space="preserve">It is still a full-page redraw, and the desktop PDF iframe reloads.</t>
  </si>
  <si>
    <t xml:space="preserve">FB-23</t>
  </si>
  <si>
    <t xml:space="preserve">Excel "Prev Certified" can come from an application that was never certified</t>
  </si>
  <si>
    <t xml:space="preserve">9219p:154-155: "Prev Certified" only comes from certified/invoiced applications.</t>
  </si>
  <si>
    <t xml:space="preserve">FB-24</t>
  </si>
  <si>
    <t xml:space="preserve">Once-guard can let Apply run while a Save is still writing (Needs check)</t>
  </si>
  <si>
    <t xml:space="preserve">922:21-24: the guard returns the in-flight promise. Apply (9219p:74) waits for it and stops on false.</t>
  </si>
  <si>
    <t xml:space="preserve">FB-25</t>
  </si>
  <si>
    <t xml:space="preserve">Project Purchases "Total Spend" may include non-purchase costs (Needs check)</t>
  </si>
  <si>
    <t xml:space="preserve">9219y:23-25 leaves labour/subcontract costs out of the tab.</t>
  </si>
  <si>
    <t xml:space="preserve">Prelims, overhead and other categories still count, which is intended.</t>
  </si>
  <si>
    <t xml:space="preserve">FB-26</t>
  </si>
  <si>
    <t xml:space="preserve">Detailed Summary takes the applied discount off the certified gross</t>
  </si>
  <si>
    <t xml:space="preserve">9219v:45: certified gross minus cert_discount, falling back to the applied discount.</t>
  </si>
  <si>
    <t xml:space="preserve">FB-27</t>
  </si>
  <si>
    <t xml:space="preserve">Switched-off VAT codes show as a different rate on PO lines</t>
  </si>
  <si>
    <t xml:space="preserve">finVatKeysWith at 9219o:45-49 is used on PO lines (9219zb:41), in 909 and in the Directory.</t>
  </si>
  <si>
    <t xml:space="preserve">Same issue left in Settings "VAT on new PO lines" (900:96 still uses Object.keys(FIN_VAT_RATES)).</t>
  </si>
  <si>
    <t xml:space="preserve">FB-28</t>
  </si>
  <si>
    <t xml:space="preserve">Pull from Xero can create the same client or supplier twice</t>
  </si>
  <si>
    <t xml:space="preserve">9219i:61-62 adds each new row to byX / byN.</t>
  </si>
  <si>
    <t xml:space="preserve">DB already has unique fin_clients_org_name (org_id, lower(name)) and fin_clients_org_xero. The old code would have hit an insert error toast, not created duplicate rows.</t>
  </si>
  <si>
    <t xml:space="preserve">FB-29</t>
  </si>
  <si>
    <t xml:space="preserve">Job delete check treats a failed lookup as "nothing booked", and misses newer tables</t>
  </si>
  <si>
    <t xml:space="preserve">9219u:100-113 replaces finDeleteJob (the 9219n:158 version is dead). It uses dbSelectChecked on 20 tables and refuses to delete if any check fails. DB check: every table listed exists and has site_id (fin_sub_payments uses lines=cs., and lines is jsonb).</t>
  </si>
  <si>
    <t xml:space="preserve">fin_statements has no project link, so it isn't checked.</t>
  </si>
  <si>
    <t xml:space="preserve">PA-14</t>
  </si>
  <si>
    <t xml:space="preserve">Reports template filter persists across jobs</t>
  </si>
  <si>
    <t xml:space="preserve">The report template filter resets when you change job.</t>
  </si>
  <si>
    <t xml:space="preserve">projA-done: 430:66, 430:88</t>
  </si>
  <si>
    <t xml:space="preserve">430:5 global; 430:74 applied; 430:97 select hidden when ≤1 name</t>
  </si>
  <si>
    <t xml:space="preserve">PA-17</t>
  </si>
  <si>
    <t xml:space="preserve">Plan markup / site rules</t>
  </si>
  <si>
    <t xml:space="preserve">Signed site-layout PDF includes old signatures</t>
  </si>
  <si>
    <t xml:space="preserve">The signed site-layout PDF shows only the current signatures.</t>
  </si>
  <si>
    <t xml:space="preserve">projA-done: 540:158</t>
  </si>
  <si>
    <t xml:space="preserve">540:156 loads all signatures; no filterCurrentCycleSigs (only used on screen at 540:60)</t>
  </si>
  <si>
    <t xml:space="preserve">PA-18</t>
  </si>
  <si>
    <t xml:space="preserve">Subcontractor library</t>
  </si>
  <si>
    <t xml:space="preserve">Renaming a company in the subcontractor library creates duplicates</t>
  </si>
  <si>
    <t xml:space="preserve">Renaming a library company renames it on every job, with no duplicates.</t>
  </si>
  <si>
    <t xml:space="preserve">projA-done: 570:62, 550:607</t>
  </si>
  <si>
    <t xml:space="preserve">570:55 renames the master only; 550:577 exact-name lookup</t>
  </si>
  <si>
    <t xml:space="preserve">PA-19</t>
  </si>
  <si>
    <t xml:space="preserve">RAMS builder</t>
  </si>
  <si>
    <t xml:space="preserve">Duplicate RA/MS numbers when two people create RAMS at once</t>
  </si>
  <si>
    <t xml:space="preserve">RAMS numbers are reserved before use, so two people can't get the same one. (A database function would be stronger.)</t>
  </si>
  <si>
    <t xml:space="preserve">projA-done: 586:108 (client side)</t>
  </si>
  <si>
    <t xml:space="preserve">586:142-143 saveRamsSettings({nextRa: st.nextRa+1…}) from cache, not awaited</t>
  </si>
  <si>
    <t xml:space="preserve">PA-20</t>
  </si>
  <si>
    <t xml:space="preserve">Re-issue with no hazards or no sections leaves the old document current</t>
  </si>
  <si>
    <t xml:space="preserve">Re-issue is blocked when the RAMS has no hazards or no sections.</t>
  </si>
  <si>
    <t xml:space="preserve">projA-done: 587:221</t>
  </si>
  <si>
    <t xml:space="preserve">587:230-231 continue when no hazards/sections, so the old doc isn't superseded</t>
  </si>
  <si>
    <t xml:space="preserve">PA-22</t>
  </si>
  <si>
    <t xml:space="preserve">COSHH signal-word suggestion misses some "Danger" codes</t>
  </si>
  <si>
    <t xml:space="preserve">The missing "Danger" codes are added.</t>
  </si>
  <si>
    <t xml:space="preserve">projA-done: 589-coshh-builder-data:60</t>
  </si>
  <si>
    <t xml:space="preserve">589-coshh-builder-data.js:59 still has no H205/H232/H251</t>
  </si>
  <si>
    <t xml:space="preserve">PA-23</t>
  </si>
  <si>
    <t xml:space="preserve">Pricing elements</t>
  </si>
  <si>
    <t xml:space="preserve">"Include in Overview summary" toggle does nothing</t>
  </si>
  <si>
    <t xml:space="preserve">The tick box that did nothing is removed.</t>
  </si>
  <si>
    <t xml:space="preserve">projA-done: 390:1156</t>
  </si>
  <si>
    <t xml:space="preserve">390:1154 toggle; include_in_summary is only written (390:91), never read</t>
  </si>
  <si>
    <t xml:space="preserve">PA-24</t>
  </si>
  <si>
    <t xml:space="preserve">Pricing elements / labour invoices</t>
  </si>
  <si>
    <t xml:space="preserve">File preview carries over to other elements</t>
  </si>
  <si>
    <t xml:space="preserve">The file preview only shows on the element it was opened from.</t>
  </si>
  <si>
    <t xml:space="preserve">projA-done: 390:106, 410:9</t>
  </si>
  <si>
    <t xml:space="preserve">390:105 / 410:8 global preview; 390:1346 renders whenever .path is set</t>
  </si>
  <si>
    <t xml:space="preserve">PA-25</t>
  </si>
  <si>
    <t xml:space="preserve">Storage file deleted before the database row</t>
  </si>
  <si>
    <t xml:space="preserve">The record is deleted first, then the file.</t>
  </si>
  <si>
    <t xml:space="preserve">projA-done: 390:133, 410:28</t>
  </si>
  <si>
    <t xml:space="preserve">390:132 storage DELETE before 390:133 dbDelete; 410:27 before 410:28</t>
  </si>
  <si>
    <t xml:space="preserve">PA-26</t>
  </si>
  <si>
    <t xml:space="preserve">Stored XSS / broken markup in the template follow-up editor</t>
  </si>
  <si>
    <t xml:space="preserve">Follow-up options with quotes or symbols now work and can't inject code.</t>
  </si>
  <si>
    <t xml:space="preserve">projA-done: 420:463, 420:395</t>
  </si>
  <si>
    <t xml:space="preserve">420:458 '${o.replace(/'/g,"\\'")}' in onchange, not HTML-escaped</t>
  </si>
  <si>
    <t xml:space="preserve">PA-27</t>
  </si>
  <si>
    <t xml:space="preserve">Maintenance/repair jobs</t>
  </si>
  <si>
    <t xml:space="preserve">Auto status "Variation Issued" keyed on the wrong field</t>
  </si>
  <si>
    <t xml:space="preserve">"Variation Issued" now uses the issued date.</t>
  </si>
  <si>
    <t xml:space="preserve">projA-done: 340:1493</t>
  </si>
  <si>
    <t xml:space="preserve">340:1492 job.variation_cost!=null ? 'Surveyed - Variation Issued'</t>
  </si>
  <si>
    <t xml:space="preserve">PA-28</t>
  </si>
  <si>
    <t xml:space="preserve">Bulk-delete log text wrong for reports</t>
  </si>
  <si>
    <t xml:space="preserve">The log now says "Deleted N report(s)".</t>
  </si>
  <si>
    <t xml:space="preserve">projA-done: 430:271</t>
  </si>
  <si>
    <t xml:space="preserve">430:253 "daily briefing submission" for normal reports</t>
  </si>
  <si>
    <t xml:space="preserve">PA-29</t>
  </si>
  <si>
    <t xml:space="preserve">Price builder</t>
  </si>
  <si>
    <t xml:space="preserve">Price builder issue confirm text is wrong</t>
  </si>
  <si>
    <t xml:space="preserve">Confirm text corrected.</t>
  </si>
  <si>
    <t xml:space="preserve">projA-done: 400:745</t>
  </si>
  <si>
    <t xml:space="preserve">400:730 "you can't un-issue it"; un-issue exists at 400:811-814</t>
  </si>
  <si>
    <t xml:space="preserve">PA-30</t>
  </si>
  <si>
    <t xml:space="preserve">Changing an option loses the quantity of an existing line</t>
  </si>
  <si>
    <t xml:space="preserve">Switching a line to an option already on the sheet is refused; quantities are kept.</t>
  </si>
  <si>
    <t xml:space="preserve">projA-done: 400:504</t>
  </si>
  <si>
    <t xml:space="preserve">400:502-503 writes items[newKey] over an existing entry</t>
  </si>
  <si>
    <t xml:space="preserve">PA-31</t>
  </si>
  <si>
    <t xml:space="preserve">Site home / multi-site addresses</t>
  </si>
  <si>
    <t xml:space="preserve">SITES index not checked</t>
  </si>
  <si>
    <t xml:space="preserve">Guards added where a job might not be found.</t>
  </si>
  <si>
    <t xml:space="preserve">projA-done: 340:2091, 350:517, 340:208</t>
  </si>
  <si>
    <t xml:space="preserve">340:2089-2090, 350:529-530, 350:542-543 SITES[idx] = row with no idx check</t>
  </si>
  <si>
    <t xml:space="preserve">The impact is smaller than reported: dbUpdate has already saved, and SITES[-1]= doesn't throw. Only the local list misses the update until the next reload.</t>
  </si>
  <si>
    <t xml:space="preserve">PA-32</t>
  </si>
  <si>
    <t xml:space="preserve">App search / quick links</t>
  </si>
  <si>
    <t xml:space="preserve">Quick link toast shows success on failure</t>
  </si>
  <si>
    <t xml:space="preserve">No "Added" message unless it saved.</t>
  </si>
  <si>
    <t xml:space="preserve">projA-done: 310:244</t>
  </si>
  <si>
    <t xml:space="preserve">310:242-244 toasts "Added Quick Link" whatever dbUpdate returned</t>
  </si>
  <si>
    <t xml:space="preserve">PA-34</t>
  </si>
  <si>
    <t xml:space="preserve">Schedule of works</t>
  </si>
  <si>
    <t xml:space="preserve">Schedule multi-delete</t>
  </si>
  <si>
    <t xml:space="preserve">Multi-delete checks what was deleted and removes the photos too.</t>
  </si>
  <si>
    <t xml:space="preserve">projA-done: 480:1352, 480:1305</t>
  </si>
  <si>
    <t xml:space="preserve">480:1328 raw DELETE; photos not removed</t>
  </si>
  <si>
    <t xml:space="preserve">PA-35</t>
  </si>
  <si>
    <t xml:space="preserve">Plan markup</t>
  </si>
  <si>
    <t xml:space="preserve">Plan PDF import caps at 10 pages without telling the user</t>
  </si>
  <si>
    <t xml:space="preserve">The 10-page limit stays, but you are told how many pages were added.</t>
  </si>
  <si>
    <t xml:space="preserve">projA-done: 498:46, 430:412</t>
  </si>
  <si>
    <t xml:space="preserve">498:42 Math.min(pdf.numPages, 10), no notice (caller 430:391)</t>
  </si>
  <si>
    <t xml:space="preserve">PA-36</t>
  </si>
  <si>
    <t xml:space="preserve">Site inductions</t>
  </si>
  <si>
    <t xml:space="preserve">Inductions: state, duplicates and export</t>
  </si>
  <si>
    <t xml:space="preserve">Newest induction kept per person; ticks reset per job; one combined PDF export.</t>
  </si>
  <si>
    <t xml:space="preserve">projA-done: 550:53-316</t>
  </si>
  <si>
    <t xml:space="preserve">550:49 order=completed_at.desc then 550:51 overwrites, so the oldest wins; 550:312 window.open in a loop; 550:45 global selection</t>
  </si>
  <si>
    <t xml:space="preserve">PA-37</t>
  </si>
  <si>
    <t xml:space="preserve">Main contractor inspections</t>
  </si>
  <si>
    <t xml:space="preserve">Operatives see MC inspections they cannot open</t>
  </si>
  <si>
    <t xml:space="preserve">Operatives see the inspections list but can't open rows, with a note saying why.</t>
  </si>
  <si>
    <t xml:space="preserve">projA-done: 530:86</t>
  </si>
  <si>
    <t xml:space="preserve">530:87 links to snagging/reports; 890:254 manager-only</t>
  </si>
  <si>
    <t xml:space="preserve">PA-40</t>
  </si>
  <si>
    <t xml:space="preserve">COSHH data-sheet upload reports "attached" when the upload failed</t>
  </si>
  <si>
    <t xml:space="preserve">A failed data-sheet upload now says so.</t>
  </si>
  <si>
    <t xml:space="preserve">projA-done: 589-coshh-builder-ui:488</t>
  </si>
  <si>
    <t xml:space="preserve">589-coshh-builder-ui.js:467-470 says "Data sheet attached" even when stored is null</t>
  </si>
  <si>
    <t xml:space="preserve">PB-08</t>
  </si>
  <si>
    <t xml:space="preserve">"Requested PPE" summary PDF cuts off everything after about 17 rows</t>
  </si>
  <si>
    <t xml:space="preserve">The PPE summary PDF runs onto more pages.</t>
  </si>
  <si>
    <t xml:space="preserve">projB-done: 650:113-124</t>
  </si>
  <si>
    <t xml:space="preserve">650:104 single addPage; y never checked</t>
  </si>
  <si>
    <t xml:space="preserve">PB-09</t>
  </si>
  <si>
    <t xml:space="preserve">Monthly repeating key dates drift when started on the 29th–31st</t>
  </si>
  <si>
    <t xml:space="preserve">Monthly dates stay on the right day (end of month when shorter).</t>
  </si>
  <si>
    <t xml:space="preserve">projB-done: 780:166-176</t>
  </si>
  <si>
    <t xml:space="preserve">780:175 d.setMonth(d.getMonth()+1) on a running date</t>
  </si>
  <si>
    <t xml:space="preserve">PB-10</t>
  </si>
  <si>
    <t xml:space="preserve">"Push to next working day" messages say "2pm" when the delivery may land elsewhere</t>
  </si>
  <si>
    <t xml:space="preserve">Messages use the real drop time.</t>
  </si>
  <si>
    <t xml:space="preserve">projB-done: 840:~527-560</t>
  </si>
  <si>
    <t xml:space="preserve">840:549 and 840:554 hard-code ", 2pm"; 840:540 keepHigh &amp;&amp; slotKey===first</t>
  </si>
  <si>
    <t xml:space="preserve">PB-11</t>
  </si>
  <si>
    <t xml:space="preserve">Delivery form can clear the day's existing 1st drop without making this one the 1st drop</t>
  </si>
  <si>
    <t xml:space="preserve">A delivery only takes the 1st drop if it really goes in the 1st drop.</t>
  </si>
  <si>
    <t xml:space="preserve">projB-done: 870:732-768</t>
  </si>
  <si>
    <t xml:space="preserve">870:733 collects highPriorityToClear on d.high_priority alone; 870:766 forces false off the 1st drop</t>
  </si>
  <si>
    <t xml:space="preserve">PB-12</t>
  </si>
  <si>
    <t xml:space="preserve">Adding non-PDF library documents to a site's COSHH breaks them</t>
  </si>
  <si>
    <t xml:space="preserve">Only real PDFs are added; others are named and skipped.</t>
  </si>
  <si>
    <t xml:space="preserve">projB-done: 820:~380-410</t>
  </si>
  <si>
    <t xml:space="preserve">820:383 uploads as application/pdf whatever the file; no notifyDocNeedsSigning in 820:360-400</t>
  </si>
  <si>
    <t xml:space="preserve">PB-13</t>
  </si>
  <si>
    <t xml:space="preserve">HAVS "Tools on this site" can be changed by operatives</t>
  </si>
  <si>
    <t xml:space="preserve">Operatives see the HAVS tools list read-only.</t>
  </si>
  <si>
    <t xml:space="preserve">projB-done: 660:~260, 660:~413-420</t>
  </si>
  <si>
    <t xml:space="preserve">660:372-378 picker shown to all; 660:235 no role check</t>
  </si>
  <si>
    <t xml:space="preserve">PB-14</t>
  </si>
  <si>
    <t xml:space="preserve">New variations may never show Approve/Decline</t>
  </si>
  <si>
    <t xml:space="preserve">New variations are saved as "pending" (app and database), so Approve/Decline shows.</t>
  </si>
  <si>
    <t xml:space="preserve">projB-done: 800:105-153; database guard trigger (security batch 1, H6) sets pending on insert</t>
  </si>
  <si>
    <t xml:space="preserve">800:153 insert has no approval_status; 800:105-106 need ==='pending'</t>
  </si>
  <si>
    <t xml:space="preserve">DB default is Needs check.</t>
  </si>
  <si>
    <t xml:space="preserve">PB-15</t>
  </si>
  <si>
    <t xml:space="preserve">PPE issued by a PM prints "Signed by &lt;operative&gt;" with no signature</t>
  </si>
  <si>
    <t xml:space="preserve">The PDF now says "Issued in person by &lt;PM&gt; — not signed by the operative".</t>
  </si>
  <si>
    <t xml:space="preserve">projB-done: 650:~470-480 (wording only)</t>
  </si>
  <si>
    <t xml:space="preserve">650:366 status:'signed' with no signature; 650:465 prints "Signed by &lt;operative&gt;"</t>
  </si>
  <si>
    <t xml:space="preserve">PB-16</t>
  </si>
  <si>
    <t xml:space="preserve">Supplier branch edits can overwrite each other</t>
  </si>
  <si>
    <t xml:space="preserve">Supplier branch edits save one after another, so none are lost.</t>
  </si>
  <si>
    <t xml:space="preserve">projB-done: 726:77-106</t>
  </si>
  <si>
    <t xml:space="preserve">726:77-89 read-modify-write of the whole array on each blur, no queue</t>
  </si>
  <si>
    <t xml:space="preserve">PB-17</t>
  </si>
  <si>
    <t xml:space="preserve">Multi-site address list is cached for the whole session</t>
  </si>
  <si>
    <t xml:space="preserve">Job addresses are reloaded on every page.</t>
  </si>
  <si>
    <t xml:space="preserve">projB-done: 890:38-41</t>
  </si>
  <si>
    <t xml:space="preserve">727:7-12 cache filled once; nothing clears it (no reference in 370)</t>
  </si>
  <si>
    <t xml:space="preserve">PB-18</t>
  </si>
  <si>
    <t xml:space="preserve">Several save buttons in this range have no double-tap protection</t>
  </si>
  <si>
    <t xml:space="preserve">11 more save buttons are protected from double taps.</t>
  </si>
  <si>
    <t xml:space="preserve">projB-done: 890:518-523, 660, 680:95, 740:106</t>
  </si>
  <si>
    <t xml:space="preserve">890:460-467 list still lacks addCoshh, addToolboxTalk, addMaterial, signCoshh, signAllCoshh, signHsPolicyGate, addHsPolicy, saveGrn</t>
  </si>
  <si>
    <t xml:space="preserve">Partly wrong: markHavsWeekComplete (660:1001), markPuwerWeekComplete (680:95) and submitPlantCheckout (740:109) set a busy flag and disable the button. None returns early, though, and render() is async, so a quick second tap can still get through.</t>
  </si>
  <si>
    <t xml:space="preserve">FA-02</t>
  </si>
  <si>
    <t xml:space="preserve">Invoices / certificates / retention</t>
  </si>
  <si>
    <t xml:space="preserve">Voiding an invoice leaves its application or retention linked to it, so the work can't be invoiced again</t>
  </si>
  <si>
    <t xml:space="preserve">Was wrong</t>
  </si>
  <si>
    <t xml:space="preserve">Not a real bug (found in the v2 re-check).</t>
  </si>
  <si>
    <t xml:space="preserve">DB: trigger fin_invoices_unlink_void (AFTER UPDATE OF status) and fin_invoices_unlink_del (BEFORE DELETE) run fin_invoice_unlink(). This clears fin_applications.invoice_id (status back to certified or submitted) and job_finance.ret1/ret2_invoice_id.</t>
  </si>
  <si>
    <t xml:space="preserve">The trigger is SECURITY INVOKER, so it relies on the voiding user's RLS on applications and job_finance (fine for today's Finance users). The client paths (903:96, 903:198) are correct once the links are cleared.</t>
  </si>
  <si>
    <t xml:space="preserve">FA-07</t>
  </si>
  <si>
    <t xml:space="preserve">Job costs / committed / splits</t>
  </si>
  <si>
    <t xml:space="preserve">Cost from a split purchase order disappears from the other project</t>
  </si>
  <si>
    <t xml:space="preserve">DB: purchase_invoices_zz_inherit_sites (fin_pi_inherit_sites) copies the PO's split_sites onto its invoices. purchase_orders_push_sites keeps them in step. So 911:17-23 or=(site_id.eq.X,split_sites.cs.{X}) does load the invoice for project B.</t>
  </si>
  <si>
    <t xml:space="preserve">PA-21</t>
  </si>
  <si>
    <t xml:space="preserve">RAMS PDF</t>
  </si>
  <si>
    <t xml:space="preserve">Dynamic risk-assessment legend leaves gaps</t>
  </si>
  <si>
    <t xml:space="preserve">587:198 legend 1–6 / 8–12 / 15–25; L and S are 1–5 (586:255, 588:50)</t>
  </si>
  <si>
    <t xml:space="preserve">7, 13 and 14 can't come out of L×S on a 1–5 scale, so the legend covers every possible score. It uses a different banding from the cell colours (585:28-34), but that's wording only.</t>
  </si>
  <si>
    <t xml:space="preserve">PA-39</t>
  </si>
  <si>
    <t xml:space="preserve">OneDrive picker</t>
  </si>
  <si>
    <t xml:space="preserve">OneDrive disconnect has no error handling</t>
  </si>
  <si>
    <t xml:space="preserve">300:435-439 handles !res.ok; a network throw is caught by the global handler at 030:224-227, which toasts "Something went wrong"</t>
  </si>
  <si>
    <t xml:space="preserve">The user does get a message.</t>
  </si>
  <si>
    <t xml:space="preserve">Security Now: 30 items from 23 Oct + 3 found on 24 Oct</t>
  </si>
  <si>
    <t xml:space="preserve">Based on the database and server state confirmed on 27 Oct: integrity fixes, security batches 1–3 applied, and the 25–26 Oct server function deploys.</t>
  </si>
  <si>
    <t xml:space="preserve">Still manual for you: turn on leaked-password protection, and reconnect OneDrive / revoke the old Microsoft sessions.</t>
  </si>
  <si>
    <t xml:space="preserve">Evidence (batch / deploy / file)</t>
  </si>
  <si>
    <t xml:space="preserve">Left to do</t>
  </si>
  <si>
    <t xml:space="preserve">Found</t>
  </si>
  <si>
    <t xml:space="preserve">SEC-C1</t>
  </si>
  <si>
    <t xml:space="preserve">RLS / OAuth token handling</t>
  </si>
  <si>
    <t xml:space="preserve">OneDrive access/refresh tokens readable by every member of the company (and cached on phones)</t>
  </si>
  <si>
    <t xml:space="preserve">Only the server can read the tokens now (database batch 1), and the app no longer fetches them. Left for you: reconnect OneDrive and revoke the old Microsoft sessions.</t>
  </si>
  <si>
    <t xml:space="preserve">security batch 1: C1 column grants; core-done 060 cache purge</t>
  </si>
  <si>
    <t xml:space="preserve">You: reconnect OneDrive; revoke old sessions</t>
  </si>
  <si>
    <t xml:space="preserve">App: 380-assign-team…:12 now uses select=org_id, and odCompanyConnected = odConnRows.length&gt;0 (:21). 260-admin-centre-layout.js:112 selects only org_id,account_email,folder_path,connected_at. DB unchanged: policy onedrive_connections."select own org" is still USING (org_id = (SELECT my_org_id())). authenticated still has full table grants (SELECT, INSERT, UPDATE, DELETE…), and the 1 live connection still holds an access token. Anyone in the company can still call GET /rest/v1/onedrive_connections?select=access_token. The old app's cached response is also still on devices (see N1). The token should be treated as already exposed until it is rotated.</t>
  </si>
  <si>
    <t xml:space="preserve">23 Oct</t>
  </si>
  <si>
    <t xml:space="preserve">SEC-H3</t>
  </si>
  <si>
    <t xml:space="preserve">Storage</t>
  </si>
  <si>
    <t xml:space="preserve">Cross-company read of every file in the public buckets (signatures, incident photos, expense receipts, RAMS/COSHH, company policies, drawings)</t>
  </si>
  <si>
    <t xml:space="preserve">Listing and opening files is now limited to your own company. The buckets are still public, so anyone with a file's exact link can open it.</t>
  </si>
  <si>
    <t xml:space="preserve">25 Oct (batch 3, confirmed 27 Oct)</t>
  </si>
  <si>
    <t xml:space="preserve">security batch 3: H3</t>
  </si>
  <si>
    <t xml:space="preserve">Make the buckets private and use signed links (app + database)</t>
  </si>
  <si>
    <t xml:space="preserve">All 9 buckets are still public=true (signatures, incident-photos, site-photos, rams-docs, coshh-docs, coshh-library, mc-documents, drawings, operative-tools). The 9 "signed-in read &lt;bucket&gt;" policies still read USING (bucket_id = '&lt;bucket&gt;') with no org check. 1 profile with no org still exists.</t>
  </si>
  <si>
    <t xml:space="preserve">SEC-L10</t>
  </si>
  <si>
    <t xml:space="preserve">Leaked-password protection off; password-reset endpoint not rate limited</t>
  </si>
  <si>
    <t xml:space="preserve">Password reset emails are limited to 3 per address per hour. Left for you: turn on leaked-password protection.</t>
  </si>
  <si>
    <t xml:space="preserve">edge deploy 25 Oct: send-password-reset v1 → v2</t>
  </si>
  <si>
    <t xml:space="preserve">You: turn on leaked-password protection</t>
  </si>
  <si>
    <t xml:space="preserve">Advisor auth_leaked_password_protection is still WARN. send-password-reset is v1, unchanged.</t>
  </si>
  <si>
    <t xml:space="preserve">SEC-N3</t>
  </si>
  <si>
    <t xml:space="preserve">Info</t>
  </si>
  <si>
    <t xml:space="preserve">Edge functions</t>
  </si>
  <si>
    <t xml:space="preserve">The xero edge function in the repo differs from the deployed one</t>
  </si>
  <si>
    <t xml:space="preserve">Xero v10 is live. The repo copy is older than what is live; copy the live version in.</t>
  </si>
  <si>
    <t xml:space="preserve">edge deploy 25 Oct; supabase/functions/xero/index.ts differs from the live source</t>
  </si>
  <si>
    <t xml:space="preserve">Copy the live xero (and finance-inbox) source into the repo</t>
  </si>
  <si>
    <t xml:space="preserve">The FA-28 change (one Xero line per project when a bill is split) isn't live. I found no security problem in the new code: the extra sites lookup is .eq('org_id', orgId). But the I1 conclusion ("deployed matches repo") no longer holds for this function.</t>
  </si>
  <si>
    <t xml:space="preserve">New</t>
  </si>
  <si>
    <t xml:space="preserve">SEC-I2</t>
  </si>
  <si>
    <t xml:space="preserve">Needs check (not individually read)</t>
  </si>
  <si>
    <t xml:space="preserve">11 email functions were reviewed and hardened on 25 Oct. The other send/notify functions were not re-checked.</t>
  </si>
  <si>
    <t xml:space="preserve">edge deploy 25 Oct</t>
  </si>
  <si>
    <t xml:space="preserve">Review the remaining send-*/notify-* functions</t>
  </si>
  <si>
    <t xml:space="preserve">Not re-read. Note: the repo supabase/functions/xero/index.ts changed on 24 Oct (FA-28, bill split per project), but the deployed function is still v9 (21 Oct). See N3.</t>
  </si>
  <si>
    <t xml:space="preserve">SEC-I1</t>
  </si>
  <si>
    <t xml:space="preserve">Things checked and found OK</t>
  </si>
  <si>
    <t xml:space="preserve">Not re-checked.</t>
  </si>
  <si>
    <t xml:space="preserve">The "checked and OK" list still holds. The new client code follows the same pattern (section 4).</t>
  </si>
  <si>
    <t xml:space="preserve">SEC-H1</t>
  </si>
  <si>
    <t xml:space="preserve">Client XSS + RLS</t>
  </si>
  <si>
    <t xml:space="preserve">Stored XSS through organizations.logo_path (runs for the whole company and in the superadmin console)</t>
  </si>
  <si>
    <t xml:space="preserve">App side (v2) plus the database check on logo paths.</t>
  </si>
  <si>
    <t xml:space="preserve">path-safe check constraints (H1/H2) applied 25 Oct</t>
  </si>
  <si>
    <t xml:space="preserve">100-state.js:302 URL-encodes each path segment. encodeURIComponent encodes ", &lt;, &gt; and spaces, and every orgLogoUrl() use is a double-quoted src="…" (125:112, 130:125, 140:85, 150:65, 170:59, 260:233, 640:156). admin.html:420 uses the same encoding. The other raw publicUrl('org-logos', ORG.logo_path) calls (320:803, 340:1570/1728, 400:1060, 430:1230, 500:561/835, 550:419, 660:868, 800:198, 587:30, 589:692) only fetch() bytes for PDFs and never reach HTML. Still not done: there is no organizations_logo_path_safe CHECK constraint, and "pm update own org branding" is unchanged (see M2).</t>
  </si>
  <si>
    <t xml:space="preserve">SEC-H2</t>
  </si>
  <si>
    <t xml:space="preserve">Client XSS</t>
  </si>
  <si>
    <t xml:space="preserve">Stored XSS through photo/file storage_path values in src= and onclick= (49 places)</t>
  </si>
  <si>
    <t xml:space="preserve">The app encodes every file path, and the database refuses unsafe paths.</t>
  </si>
  <si>
    <t xml:space="preserve">core-done: 060:380-383, 065:125; path-safe check constraints applied 25 Oct</t>
  </si>
  <si>
    <t xml:space="preserve">060-offline-read-cache.js publicUrl() still does SUPABASE_URL+'/storage/v1/object/public/'+bucket+'/'+path with no encoding. 46 template sites still interpolate it into src="${publicUrl(…)}" / viewImage('${publicUrl(…)}'), e.g. 340-maintenance-repair-contract.js:913,921, 320-per-operative-certifications.js:502,657, 240-my-signature…:11. No *_paths_safe constraints exist (pg_constraint has none). schedule_photos."insert site access" is unchanged.</t>
  </si>
  <si>
    <t xml:space="preserve">SEC-H4</t>
  </si>
  <si>
    <t xml:space="preserve">Any PM/admin of any company can read every company's price files</t>
  </si>
  <si>
    <t xml:space="preserve">Price files only for your own company's projects.</t>
  </si>
  <si>
    <t xml:space="preserve">security batch 1: H4</t>
  </si>
  <si>
    <t xml:space="preserve">storage."select price files storage": the first branch is still EXISTS(profiles pr WHERE pr.id = auth.uid() AND pr.role IN ('pm','admin')) with no site or org check.</t>
  </si>
  <si>
    <t xml:space="preserve">SEC-H5</t>
  </si>
  <si>
    <t xml:space="preserve">RLS / finance integrity</t>
  </si>
  <si>
    <t xml:space="preserve">Check-ins can be forged for anyone, at any time, and they drive pay runs and labour costs</t>
  </si>
  <si>
    <t xml:space="preserve">You can only check yourself in, at the current time; only managers edit check-ins.</t>
  </si>
  <si>
    <t xml:space="preserve">security batch 1: H5</t>
  </si>
  <si>
    <t xml:space="preserve">checkins."insert site access" WITH CHECK is still has_site_access(site_id), and "update site access" is still has_site_access(site_id) on both sides. There is no user_id/ts check. Pay run still reads these (9218-finance-payrun.js:26, now with a UK-midnight window, but forged rows still count).</t>
  </si>
  <si>
    <t xml:space="preserve">SEC-H6</t>
  </si>
  <si>
    <t xml:space="preserve">Client-only role checks</t>
  </si>
  <si>
    <t xml:space="preserve">Approval and status fields protected only in the UI (variations, permits, RAMS/COSHH docs, materials)</t>
  </si>
  <si>
    <t xml:space="preserve">Approval and decision fields on variations, permits, RAMS, COSHH and materials can only be changed by managers. Snags, schedule and site-layout tables still use the general job rule.</t>
  </si>
  <si>
    <t xml:space="preserve">security batch 1: H6 guard trigger (guard_manager_fields)</t>
  </si>
  <si>
    <t xml:space="preserve">Optional: same guard on snags, schedule and site layout</t>
  </si>
  <si>
    <t xml:space="preserve">variations, permits, rams_docs, coshh_docs and materials UPDATE policies are still has_site_access(site_id) on both sides. There is no guard trigger (none in pg_trigger on those tables).</t>
  </si>
  <si>
    <t xml:space="preserve">SEC-M1</t>
  </si>
  <si>
    <t xml:space="preserve">RLS</t>
  </si>
  <si>
    <t xml:space="preserve">Org-wide SELECT policies don't exclude the client (external customer) role</t>
  </si>
  <si>
    <t xml:space="preserve">Client logins can't read company-wide lists. A few stay open on purpose because client screens need them (names, H&amp;S policy, tools, toolbox talks).</t>
  </si>
  <si>
    <t xml:space="preserve">security batch 3: M1</t>
  </si>
  <si>
    <t xml:space="preserve">report_submissions."org can read submissions" = org_id = my_org_id(), and profiles."select same org profiles" and suppliers."select own org" are unchanged. There are 0 client profiles today, so nobody can exploit this yet.</t>
  </si>
  <si>
    <t xml:space="preserve">SEC-M10</t>
  </si>
  <si>
    <t xml:space="preserve">JS injection in the superadmin console through a user-editable profile email</t>
  </si>
  <si>
    <t xml:space="preserve">Fixed before v2 (the injection); batch 1 also stops managers changing other people's email.</t>
  </si>
  <si>
    <t xml:space="preserve">v2; security batch 1: M3 / M10</t>
  </si>
  <si>
    <t xml:space="preserve">admin.html:485 is now onclick="resetPassword('${jsAttr(p.email)}')". Still not done: profiles.email is still editable by its owner ("user update own profile", and no trigger keeps it in step with auth.users). That doesn't matter for this sink any more.</t>
  </si>
  <si>
    <t xml:space="preserve">SEC-M11</t>
  </si>
  <si>
    <t xml:space="preserve">SECURITY DEFINER RPC</t>
  </si>
  <si>
    <t xml:space="preserve">yard_cost_edit lets non-finance PMs edit finance job costs and move them to any site</t>
  </si>
  <si>
    <t xml:space="preserve">Yard cost edits stay inside your company, and only Finance can change the money.</t>
  </si>
  <si>
    <t xml:space="preserve">security batch 3: M11</t>
  </si>
  <si>
    <t xml:space="preserve">The yard_cost_edit body is unchanged. It still has no check that p_site belongs to the caller's org (update fin_job_costs set … site_id = coalesce(p_site, site_id)), and PMs can still change net. has_function_privilege('anon', …) is still true.</t>
  </si>
  <si>
    <t xml:space="preserve">SEC-M2</t>
  </si>
  <si>
    <t xml:space="preserve">Any PM/site manager can rewrite any column of the company record</t>
  </si>
  <si>
    <t xml:space="preserve">Only an admin changes the company name, billing, modules, job numbering or expenses email.</t>
  </si>
  <si>
    <t xml:space="preserve">security batch 1: M2</t>
  </si>
  <si>
    <t xml:space="preserve">organizations."pm update own org branding" = is_pm() AND id = my_org_id() on all columns. The only triggers are trg_protect_plan_tier and trg_org_modules_from_tier.</t>
  </si>
  <si>
    <t xml:space="preserve">SEC-M3</t>
  </si>
  <si>
    <t xml:space="preserve">PMs can edit other people's profiles, including signature images and roles</t>
  </si>
  <si>
    <t xml:space="preserve">A manager can't change someone else's signature or email, or make them an admin.</t>
  </si>
  <si>
    <t xml:space="preserve">security batch 1: M3 / M10</t>
  </si>
  <si>
    <t xml:space="preserve">profiles."manager update pm/operative role within org" is unchanged. There is no protect_profile_by_manager trigger: the profiles triggers are estimator_sync, finance_on_insert, protect_profile_finance and protect_profile_role_org. New client code relies on this path: 908-finance-standalone.js:216-235 (finTeamToggle) promotes a user to pm when Finance is granted (it now asks first, :221).</t>
  </si>
  <si>
    <t xml:space="preserve">SEC-M4</t>
  </si>
  <si>
    <t xml:space="preserve">RLS / H&amp;S records</t>
  </si>
  <si>
    <t xml:space="preserve">Signatures can be forged in another person's name</t>
  </si>
  <si>
    <t xml:space="preserve">You can only sign as yourself.</t>
  </si>
  <si>
    <t xml:space="preserve">security batch 1: M4</t>
  </si>
  <si>
    <t xml:space="preserve">rams_signatures, coshh_signatures and site_layout_signatures "insert site access" WITH CHECK still has only has_site_access(...), with no user_id = auth.uid().</t>
  </si>
  <si>
    <t xml:space="preserve">SEC-M5</t>
  </si>
  <si>
    <t xml:space="preserve">Commercial values readable by operatives and subcontractors (hidden only in the UI)</t>
  </si>
  <si>
    <t xml:space="preserve">Prices only for managers, Finance and people given price access on that job.</t>
  </si>
  <si>
    <t xml:space="preserve">security batch 1: M5</t>
  </si>
  <si>
    <t xml:space="preserve">pricing_elements."select site access" and price_weeks."select site access" are still just has_site_access(site_id). sites."select assigned or pm" is unchanged, and there is no column revoke.</t>
  </si>
  <si>
    <t xml:space="preserve">SEC-M6</t>
  </si>
  <si>
    <t xml:space="preserve">storage_path_mine() shares folders across all companies and lets any member write or delete any site folder</t>
  </si>
  <si>
    <t xml:space="preserve">Shared folders are kept per company, and only the uploader or a manager of the same company can delete or replace a file. Old shared folders still take new files until phones are updated.</t>
  </si>
  <si>
    <t xml:space="preserve">security batch 3: M6 (storage_path_mine, storage_can_change); app commit ea36726</t>
  </si>
  <si>
    <t xml:space="preserve">storage_path_mine() body is unchanged: if s1 in ('general','exports','report-pdfs') then return true applies to any signed-in user with an org. It also returns true for s2 = org and for any site folder of the caller's org, whether or not they are assigned to it.</t>
  </si>
  <si>
    <t xml:space="preserve">SEC-M7</t>
  </si>
  <si>
    <t xml:space="preserve">Edge functions (email abuse)</t>
  </si>
  <si>
    <t xml:space="preserve">Signed-in users can send company-branded email to any address, with any link</t>
  </si>
  <si>
    <t xml:space="preserve">Email functions redeployed: links must be your own files, and every send is logged and limited per day.</t>
  </si>
  <si>
    <t xml:space="preserve">edge deploy 25 Oct (11 send-* functions); edge_email_log table</t>
  </si>
  <si>
    <t xml:space="preserve">send-document-email is still v11, last deployed 16 Oct. Nothing has been redeployed.</t>
  </si>
  <si>
    <t xml:space="preserve">SEC-M8</t>
  </si>
  <si>
    <t xml:space="preserve">Any member can write or overwrite files anywhere in the company's OneDrive/SharePoint</t>
  </si>
  <si>
    <t xml:space="preserve">Operatives can only upload to OneDrive for jobs they are on.</t>
  </si>
  <si>
    <t xml:space="preserve">edge deploy 25 Oct: onedrive-upload v29 → v30</t>
  </si>
  <si>
    <t xml:space="preserve">onedrive-upload is still v29, last deployed 14 Oct.</t>
  </si>
  <si>
    <t xml:space="preserve">SEC-M9</t>
  </si>
  <si>
    <t xml:space="preserve">webapp bucket: public, and any PM of any company can upload or overwrite</t>
  </si>
  <si>
    <t xml:space="preserve">Nobody signed in can write to the old "webapp" storage any more.</t>
  </si>
  <si>
    <t xml:space="preserve">security batch 3: M9</t>
  </si>
  <si>
    <t xml:space="preserve">webapp is still public with 2 objects. "pm upload webapp" and "pm update webapp" are still bucket_id='webapp' AND is_pm(), with no org check.</t>
  </si>
  <si>
    <t xml:space="preserve">SEC-L1</t>
  </si>
  <si>
    <t xml:space="preserve">SECURITY DEFINER functions executable by anon (39) and trigger functions exposed as RPCs</t>
  </si>
  <si>
    <t xml:space="preserve">Logged-out visitors can't call database functions (except the invite page), and trigger functions can't be called directly.</t>
  </si>
  <si>
    <t xml:space="preserve">security batch 3: L1</t>
  </si>
  <si>
    <t xml:space="preserve">Advisor: anon_security_definer_function_executable 39 and authenticated_security_definer_function_executable 55. The same functions are listed as on 23 Oct, trigger functions included.</t>
  </si>
  <si>
    <t xml:space="preserve">SEC-L2</t>
  </si>
  <si>
    <t xml:space="preserve">check_and_lock_device (v1) still callable alongside v2</t>
  </si>
  <si>
    <t xml:space="preserve">The old device check is switched off.</t>
  </si>
  <si>
    <t xml:space="preserve">security batch 3: L2</t>
  </si>
  <si>
    <t xml:space="preserve">check_and_lock_device(text): authenticated can still execute it (anon cannot).</t>
  </si>
  <si>
    <t xml:space="preserve">SEC-L3</t>
  </si>
  <si>
    <t xml:space="preserve">Mutable search_path on fin_item_key(text), fin_qty_num(text)</t>
  </si>
  <si>
    <t xml:space="preserve">Applied.</t>
  </si>
  <si>
    <t xml:space="preserve">sec_round2_a_integrity (search_path)</t>
  </si>
  <si>
    <t xml:space="preserve">Advisor function_search_path_mutable: fin_item_key, fin_qty_num. proconfig is null.</t>
  </si>
  <si>
    <t xml:space="preserve">SEC-L4</t>
  </si>
  <si>
    <t xml:space="preserve">Device lock is trivially bypassed</t>
  </si>
  <si>
    <t xml:space="preserve">An old-style phone id that belongs to someone else no longer lets you straight in. (The device lock is still a deterrent, not a hard lock.)</t>
  </si>
  <si>
    <t xml:space="preserve">security batch 3: L4</t>
  </si>
  <si>
    <t xml:space="preserve">The check_device_lock_v2 body still has the fp_ branch.</t>
  </si>
  <si>
    <t xml:space="preserve">SEC-L5</t>
  </si>
  <si>
    <t xml:space="preserve">Finance inbox: key in the URL, and AI auto-filing is exposed to prompt injection</t>
  </si>
  <si>
    <t xml:space="preserve">The inbox key now goes in a header (the old link form still works), AI-filed invoices are never auto-approved, and a supplier that doesn't match the PO goes to Query.</t>
  </si>
  <si>
    <t xml:space="preserve">edge deploy 25 Oct: finance-inbox v2 → v3 (index.ts:9, 120-159)</t>
  </si>
  <si>
    <t xml:space="preserve">Optional: move the mail forwarder to the header, then stop accepting ?key=</t>
  </si>
  <si>
    <t xml:space="preserve">finance-inbox is still v2 (21 Oct), with no redeploy. On the client, filing now claims the row first (9219b-finance-purchases.js:96, 906-finance-inbox.js:188). That stops double filing, but the AI auto-filing trust issue is unchanged.</t>
  </si>
  <si>
    <t xml:space="preserve">SEC-L6</t>
  </si>
  <si>
    <t xml:space="preserve">"Orphan row" clauses let any PM on the platform delete orphaned rows of other companies</t>
  </si>
  <si>
    <t xml:space="preserve">The "orphan row" delete escape hatch is removed.</t>
  </si>
  <si>
    <t xml:space="preserve">security batch 3: L6</t>
  </si>
  <si>
    <t xml:space="preserve">29 policies still contain NOT (EXISTS (SELECT 1 FROM sites …)) orphan branches, e.g. checkins."pm delete", variations."pm delete", pricing_elements."pm delete", price_weeks."pm delete".</t>
  </si>
  <si>
    <t xml:space="preserve">SEC-L7</t>
  </si>
  <si>
    <t xml:space="preserve">Session and offline cache (including finance data) stored in localStorage</t>
  </si>
  <si>
    <t xml:space="preserve">Finance, wages, OneDrive and Xero data are never saved on the phone.</t>
  </si>
  <si>
    <t xml:space="preserve">core-done: 060:49-53 cacheNeverStore</t>
  </si>
  <si>
    <t xml:space="preserve">060-offline-read-cache.js:46 cacheRows() still caches every dbSelect response with no table exclusions. That now also includes client_pos.files and the new job_finance columns.</t>
  </si>
  <si>
    <t xml:space="preserve">SEC-L8</t>
  </si>
  <si>
    <t xml:space="preserve">Edge function hygiene</t>
  </si>
  <si>
    <t xml:space="preserve">Functions redeployed with a website allow-list and the other tidy-ups.</t>
  </si>
  <si>
    <t xml:space="preserve">No edge function has been redeployed since 21 Oct, so CORS *, raw error echoes and the Math.random() password in admin-reset-password (v18, 3 Oct) are unchanged.</t>
  </si>
  <si>
    <t xml:space="preserve">SEC-L9</t>
  </si>
  <si>
    <t xml:space="preserve">onedrive-oauth-callback reflects the error parameter into HTML unescaped</t>
  </si>
  <si>
    <t xml:space="preserve">The OneDrive sign-in page escapes the error text.</t>
  </si>
  <si>
    <t xml:space="preserve">edge deploy 25 Oct: onedrive-oauth-callback v27 → v28</t>
  </si>
  <si>
    <t xml:space="preserve">onedrive-oauth-callback is v27, unchanged since 20 Sep.</t>
  </si>
  <si>
    <t xml:space="preserve">SEC-N1</t>
  </si>
  <si>
    <t xml:space="preserve">Client offline cache / C1 follow-up</t>
  </si>
  <si>
    <t xml:space="preserve">OneDrive token responses from the old app are still cached on devices</t>
  </si>
  <si>
    <t xml:space="preserve">Phones wipe old copies, and the database no longer hands out the tokens. Reconnect OneDrive (under SEC-C1).</t>
  </si>
  <si>
    <t xml:space="preserve">core-done 060:91-111; security batch 1 (C1)</t>
  </si>
  <si>
    <t xml:space="preserve">The C1 client fix stops new fetches of the token. Nothing removes the responses the old build already wrote to localStorage. They stay until sign-out or until 300 newer reads push them out. The refresh_token from the admin screen's select=* lasts much longer than an hour.</t>
  </si>
  <si>
    <t xml:space="preserve">SEC-N2</t>
  </si>
  <si>
    <t xml:space="preserve">RLS, Finance tables used by the new Overview, BoQ and variations screens</t>
  </si>
  <si>
    <t xml:space="preserve">Several finance tables don't check that site_id belongs to your company on write (integrity only); contract_value_source is free text</t>
  </si>
  <si>
    <t xml:space="preserve">Finance rows can only point at your own company's projects.</t>
  </si>
  <si>
    <t xml:space="preserve">security batch 3: N2 (site_in_my_org)</t>
  </si>
  <si>
    <t xml:space="preserve">A Finance user can save one of their own company's rows against another company's site_id. The other company can't see the row (it's filtered by org), so nothing leaks across companies. But it's inconsistent with the stricter tables, and it lets bad data in (e.g. a pasted wrong UUID). contract_value_source accepts any text.</t>
  </si>
  <si>
    <t xml:space="preserve">New Issues (found 24 Oct evening): status on 27 Oct</t>
  </si>
  <si>
    <t xml:space="preserve">ID prefixes: CP- = Core/Projects re-check, FIN- = Finance re-check, SEC-N = security re-check, NS- = review of the new screens, FX- = review of the fixes.</t>
  </si>
  <si>
    <t xml:space="preserve">Source</t>
  </si>
  <si>
    <t xml:space="preserve">What was wrong (v2)</t>
  </si>
  <si>
    <t xml:space="preserve">Where (file:line, v2)</t>
  </si>
  <si>
    <t xml:space="preserve">Same as</t>
  </si>
  <si>
    <t xml:space="preserve">CP-NEW-1</t>
  </si>
  <si>
    <t xml:space="preserve">Core/Projects re-check</t>
  </si>
  <si>
    <t xml:space="preserve">Admin Centre › Integrations; Assign Team</t>
  </si>
  <si>
    <t xml:space="preserve">OneDrive shows "Connected" when any connection row exists (Needs check)</t>
  </si>
  <si>
    <t xml:space="preserve">Not changed. Integrations shows "Connected" whenever a connection record exists (the app can no longer read the token to check).</t>
  </si>
  <si>
    <t xml:space="preserve">core-done: "Not done (needs DB)"; 260:112 and 380:12 now select org_id only</t>
  </si>
  <si>
    <t xml:space="preserve">The 24 Oct fix stopped loading access_token, so "connected" now means "a row exists for this org". Before, it meant "a row with a token exists". If the OAuth flow creates the row before the token is stored, or the refresh job blanks the token when Microsoft revokes it, the page now says "Connected — syncing to …".</t>
  </si>
  <si>
    <t xml:space="preserve">260-admin-centre-layout.js:112, 286; 380-assign-team-per-site-pm-allocates-operat.js:12, 21</t>
  </si>
  <si>
    <t xml:space="preserve">Security re-check</t>
  </si>
  <si>
    <t xml:space="preserve">The live Xero function is now v10. The copy in the code (repo) is older than what is live, so a redeploy from the repo would undo the contra line. Copy the live version in.</t>
  </si>
  <si>
    <t xml:space="preserve">edge deploy 25 Oct (xero v9 → v10 from /home/claude/edge/xero/new); supabase/functions/xero/index.ts differs</t>
  </si>
  <si>
    <t xml:space="preserve">supabase/functions/xero/index.ts:363-390 (24 Oct, FA-28 split lines). Deployed xero is v9, updated_at 21 Oct.</t>
  </si>
  <si>
    <t xml:space="preserve">FX-P10</t>
  </si>
  <si>
    <t xml:space="preserve">NS-H1</t>
  </si>
  <si>
    <t xml:space="preserve">New screens review</t>
  </si>
  <si>
    <t xml:space="preserve">Bill of Quantities on the phone (9219zk) together with the autosave (9219n)</t>
  </si>
  <si>
    <t xml:space="preserve">Phone BoQ editor: a new line (or edits) typed while an autosave is running is never saved</t>
  </si>
  <si>
    <t xml:space="preserve">Fixed (waiting for Push origin)</t>
  </si>
  <si>
    <t xml:space="preserve">Fixed on 24 Oct night (tested); live since you pressed Push origin.</t>
  </si>
  <si>
    <t xml:space="preserve">24 Oct (night)</t>
  </si>
  <si>
    <t xml:space="preserve">commit 698ae60</t>
  </si>
  <si>
    <t xml:space="preserve">• finBqAddAt (every "+ Add …" on the phone) inserts an empty row and calls finContractAutoSave() immediately, then opens the edit sheet.
• The autosave skips the empty row, because it has no description.
• When the autosave finishes, though, it takes the "saved" snapshot from the current finContractRows. That snapshot already includes whatever the user has typed into the sheet in the meantime.
• When the user taps Done, finBqClose checks finContractIsDirty(), gets false, and does not save.
• The same happens to any edit made in the sheet that is reopened after Up/Down (finBqMove → finContractMove → autosave → finBqEdit).
• The autosave PATCHes every line one after another, so on a real BoQ it runs for several seconds on mobile. That makes this window easy to hit.</t>
  </si>
  <si>
    <t xml:space="preserve">• 9219n-finance-newjob.js:504-523: rows is filtered and captured at the start; then finContractSnap = finContractSnapOf(finContractRows) runs at the end.
• 9219zk-finance-boq-phone.js:53-60 (finBqAddAt) and :75-80 (finBqClose).</t>
  </si>
  <si>
    <t xml:space="preserve">NS-H2</t>
  </si>
  <si>
    <t xml:space="preserve">Bill of Quantities on the phone (9219zk)</t>
  </si>
  <si>
    <t xml:space="preserve">Phone BoQ "Remove" does nothing: the confirm dialog opens behind the edit sheet</t>
  </si>
  <si>
    <t xml:space="preserve">• The sheet and the confirm overlay have the same z-index, so DOM order decides which is on top.
• #confirmModalOverlay is created the first time any confirm is used in the session. #finBqOv is created the first time the BoQ sheet opens.
• If any confirm has been shown earlier in the session (very common), the confirm sits earlier in the DOM and is painted under the sheet.</t>
  </si>
  <si>
    <t xml:space="preserve">• 9219zk-finance-boq-phone.js:120-125 (finBqDelete asks customConfirm while the sheet is still open).
• 9219zk-finance-boq-phone.js:158 (.bq-ov{z-index:10050}).
• 9219m-yard-stock.js:280 (#confirmModalOverlay{z-index:10050 !important}).
• 110-routing.js:191-197 (the confirm overlay is created once and appended to body).</t>
  </si>
  <si>
    <t xml:space="preserve">FIN-NEW-01</t>
  </si>
  <si>
    <t xml:space="preserve">Finance re-check</t>
  </si>
  <si>
    <t xml:space="preserve">Subcontracts / CIS / Xero (side effect of the FA-06 fix)</t>
  </si>
  <si>
    <t xml:space="preserve">Subcontractor bills posted to Xero now include the contra charge, so Xero shows the contra as still owed</t>
  </si>
  <si>
    <t xml:space="preserve">The CIS record stores the contra, and Xero v10 adds it as a minus line on the bill.</t>
  </si>
  <si>
    <t xml:space="preserve">finance-done: 912:297; xero v10 deployed 25 Oct</t>
  </si>
  <si>
    <t xml:space="preserve">Since the FA-06 fix, fin_sub_payments stores labour and gross before the contra charge. This is correct for CIS. But the Xero bill is built from labour + materials, so it now includes the contra. The payment actually made (net_pay) is after the contra, and nothing posts the contra to Xero as a credit or negative line.</t>
  </si>
  <si>
    <t xml:space="preserve">912-finance-subcontracts.js:279-283 (gross = net_due + contraNow, labour = gross − materials stored on fin_sub_payments). Deployed xero function v9, push_sub_payment (the bill = labour line + materials line, NoTax).</t>
  </si>
  <si>
    <t xml:space="preserve">FX-P2</t>
  </si>
  <si>
    <t xml:space="preserve">FX-P1</t>
  </si>
  <si>
    <t xml:space="preserve">Fix check review</t>
  </si>
  <si>
    <t xml:space="preserve">Purchases › Inbox (FA-03)</t>
  </si>
  <si>
    <t xml:space="preserve">An inbox item can be left "filed" with no purchase invoice, and drop out of sight</t>
  </si>
  <si>
    <t xml:space="preserve">Stuck "filed" inbox invoices show again and can be filed; only one person can claim one at a time. (One server step would be stronger.)</t>
  </si>
  <si>
    <t xml:space="preserve">finance-done: 906:26, 9219b:120, 914, 9219l</t>
  </si>
  <si>
    <t xml:space="preserve">The claim sets status:'filed' before the purchase invoice is inserted. If the insert doesn't complete, the only recovery is a second dbUpdate(...{status:'new'}). That second call fails too when the cause was a dropped connection: dbInsert catches the network error and returns null, then the revert PATCH also fails. It also fails if the app is closed or backgrounded between the two calls. The row is then status='filed', purchase_invoice_id=null. The Purchases inbox only loads status=eq.new, and no screen lists filed items with no invoice. A failed claim (offline) also shows "This one has just been filed by someone else", which is wrong, alongside the generic "Update failed" toast.</t>
  </si>
  <si>
    <t xml:space="preserve">src/js/9219b-finance-purchases.js:96-103 (and 906-finance-inbox.js:188-193); list query at 9219b-finance-purchases.js:119</t>
  </si>
  <si>
    <t xml:space="preserve">FIN-NEW-04 (toast part)</t>
  </si>
  <si>
    <t xml:space="preserve">Subcontracts / CIS → Xero (FA-06)</t>
  </si>
  <si>
    <t xml:space="preserve">Subcontract bill in Xero is now overstated by the contra charge</t>
  </si>
  <si>
    <t xml:space="preserve">Same as FIN-NEW-01: the contra goes to Xero as a minus line.</t>
  </si>
  <si>
    <t xml:space="preserve">The CIS figures are now right per CISR15030: gross before contra, and cis_deduction on that. But the same fin_sub_payments row feeds Xero, which posts a bill of labour + materials = net due + this time's contra. The subcontractor is actually paid pay_amount = net due − CIS. Nothing posts the contra to Xero, so Xero shows them owed the contra amount on top. Fix-C flags this, but it is still unfixed and the bill posts automatically like any other.</t>
  </si>
  <si>
    <t xml:space="preserve">src/js/912-finance-subcontracts.js:283-286 (CIS record labour/gross now before contra); supabase/functions/xero/index.ts:417-418 (push_sub_payment posts labour + materials)</t>
  </si>
  <si>
    <t xml:space="preserve">NS-M1</t>
  </si>
  <si>
    <t xml:space="preserve">Contract value: typed vs BoQ (9219zi), used by all three BoQ save paths</t>
  </si>
  <si>
    <t xml:space="preserve">A failed read in finCvPatch overwrites a typed (manual) contract value with the BoQ total</t>
  </si>
  <si>
    <t xml:space="preserve">• finCvPatch reads job_finance.contract_value_source with dbSelect(...).catch(()=&gt;[]).
• dbSelect does not throw on failure: it returns [] (or a cached copy) on a network or server error (060-offline-read-cache.js:111-117).
• An empty answer is treated as "not manual", so the patch includes contract_value: &lt;BoQ total&gt;, and the upsert that follows (in a separate request) overwrites the typed value.</t>
  </si>
  <si>
    <t xml:space="preserve">• 9219zi-finance-setup.js:12-15.
• Called from 902-finance-applications.js:243 (Save button), 9219n-finance-newjob.js:522 (autosave) and 9219n-finance-newjob.js:739 (finAppAddLineCore).</t>
  </si>
  <si>
    <t xml:space="preserve">FIN-NEW-03</t>
  </si>
  <si>
    <t xml:space="preserve">NS-M2</t>
  </si>
  <si>
    <t xml:space="preserve">Project Overview (9219zj block, 9219q finVdRowHtml)</t>
  </si>
  <si>
    <t xml:space="preserve">The overview's "Variations &amp; Day Works" row is cached for the whole session and never refreshes</t>
  </si>
  <si>
    <t xml:space="preserve">The totals are fetched the first time the row is drawn for a project. After that, every re-render reuses the cached lists.</t>
  </si>
  <si>
    <t xml:space="preserve">9219q-finance-summary-cards.js:267-290. FIN_VD_DATA[siteId] is loaded once and never cleared; finVdLoad only runs when it is missing.</t>
  </si>
  <si>
    <t xml:space="preserve">Map L85</t>
  </si>
  <si>
    <t xml:space="preserve">NS-M3</t>
  </si>
  <si>
    <t xml:space="preserve">Retention dates (9219zh, 9219 sales retention table)</t>
  </si>
  <si>
    <t xml:space="preserve">A typed "Final Retention Release" date overrides everything else from then on, and the Finance home ignores it</t>
  </si>
  <si>
    <t xml:space="preserve">• Once final_release_date is set from Sales › Retention, the wrapper returns it whatever the PC date or defects period say.
• Project Admin still offers "Practical completion" + "Defects (months)" + "Save dates", but saving them no longer changes the final date that is shown or used.
• The defects months that finRetSetDate back-fills are rounded to whole months, so the two disagree. For example, PC 1 Jan 2026 with final 15 Mar 2027 gives 14 months, which works out to 1 Mar 2027.
• The Finance home builds its "Retention to claim back" reminders from a select that has no final_release_date. It therefore uses PC + defects instead, and if only the final date was typed (no PC date) there is no reminder at all.</t>
  </si>
  <si>
    <t xml:space="preserve">• 9219zh-finance-sales-tidy.js:8-24 (the finRetentionDates wrapper and finRetSetDate).
• 903-finance-certs-retention.js:188-193 (saveFinRetentionDates never touches final_release_date).
• 914-finance-sections.js:67 (the home's job_finance select has no final_release_date) and :90 (home retention reminders).</t>
  </si>
  <si>
    <t xml:space="preserve">Map L83</t>
  </si>
  <si>
    <t xml:space="preserve">NS-M4</t>
  </si>
  <si>
    <t xml:space="preserve">Project Admin and contract value (900, 902, 9219zi)</t>
  </si>
  <si>
    <t xml:space="preserve">A typed contract value on an applications project with a BoQ cannot be corrected, and the Save toast quotes the wrong figure</t>
  </si>
  <si>
    <t xml:space="preserve">• 24 Oct made the typed value "win" (contract_value_source='manual'), but Project Admin still locks the box as soon as the project has BoQ lines.
• The only way to change a typed figure (e.g. a typo, or a revised contract sum) is "Use BoQ", which throws it away.
• The Save toast reports the BoQ total as the contract value even though it was deliberately not applied.</t>
  </si>
  <si>
    <t xml:space="preserve">• 900-finance.js:265: the Contract value input is disabled when bt==='application' &amp;&amp; items.length.
• 900-finance.js:275: the hint says "The contract value comes from the Bill of Quantities".
• 902-finance-applications.js:259: the toast 'Schedule saved — contract value '+finMoney(total).</t>
  </si>
  <si>
    <t xml:space="preserve">Map L82</t>
  </si>
  <si>
    <t xml:space="preserve">NS-M5</t>
  </si>
  <si>
    <t xml:space="preserve">The phone BoQ edit sheet stays on top after leaving the page</t>
  </si>
  <si>
    <t xml:space="preserve">• A phone back gesture, Android back, or a go() from elsewhere (a notification, tapping a tab under the sheet's edge) re-renders #app but leaves #finBqOv showing (display:flex, z-index 10050) over the next page.
• Its inputs still write into finContractRows[i]. If a different project's BoQ has been opened since, that array belongs to the other project, and Done then autosaves it.</t>
  </si>
  <si>
    <t xml:space="preserve">9219zk-finance-boq-phone.js:70-74. The overlay is appended to &lt;body&gt;, not #app, and nothing closes it on a route change.</t>
  </si>
  <si>
    <t xml:space="preserve">NS-M6</t>
  </si>
  <si>
    <t xml:space="preserve">Client PO, multiple files (900)</t>
  </si>
  <si>
    <t xml:space="preserve">Client PO save: a failed read of the existing files drops the earlier attachments from the PO</t>
  </si>
  <si>
    <t xml:space="preserve">• dbSelect returns [] on a network or server error, so old becomes empty.
• row.files is then written as only the newly added files, and file_path/file_name are replaced as well.
• The earlier copies stay in storage, but nothing in the app points to them any more.</t>
  </si>
  <si>
    <t xml:space="preserve">900-finance.js:376, const old = poId ? finPoFilesOf((await dbSelect(...))[0]||{}) : [].</t>
  </si>
  <si>
    <t xml:space="preserve">CP-NEW-2</t>
  </si>
  <si>
    <t xml:space="preserve">Offline read cache / security follow-up to CORE-M1</t>
  </si>
  <si>
    <t xml:space="preserve">Old offline cache still holds the OneDrive tokens on devices that opened Integrations before the fix</t>
  </si>
  <si>
    <t xml:space="preserve">Old saved OneDrive copies are wiped from phones when the app starts.</t>
  </si>
  <si>
    <t xml:space="preserve">core-done: 060:91-111 cachePurgeSensitive</t>
  </si>
  <si>
    <t xml:space="preserve">Every dbSelect result is saved to localStorage under table?querystring. The old select=* row, with the access and refresh tokens, is still on any admin's browser that opened Integrations before 24 Oct. The new query has a different key, so nothing overwrites it. It goes only on sign-out or when 300 newer entries push it out.</t>
  </si>
  <si>
    <t xml:space="preserve">060-offline-read-cache.js:46-51 (cacheRows), 21 (300-entry LRU); old query key onedrive_connections?org_id=eq.&lt;org&gt;</t>
  </si>
  <si>
    <t xml:space="preserve">FIN-NEW-02</t>
  </si>
  <si>
    <t xml:space="preserve">Project Overview (new file 9219zj)</t>
  </si>
  <si>
    <t xml:space="preserve">The Overview headline says "Contract + agreed variations" under a figure that also includes unagreed ones</t>
  </si>
  <si>
    <t xml:space="preserve">The headline now says it includes submitted variations, and how much.</t>
  </si>
  <si>
    <t xml:space="preserve">finance-done: FA-18 / FIN-NEW-02</t>
  </si>
  <si>
    <t xml:space="preserve">The headline shows fc.ffa (contract + agreed + priced/submitted variations). The line under it reads "Contract £X + £Y agreed variations", which only adds up when nothing is pending. This is FA-18 again, in the new Overview block.</t>
  </si>
  <si>
    <t xml:space="preserve">9219zj-finance-overview-cards.js:56 and 64. The source figure is 911-finance-qs.js:142.</t>
  </si>
  <si>
    <t xml:space="preserve">Bill of Quantities / contract value (new in 9219zi)</t>
  </si>
  <si>
    <t xml:space="preserve">A failed read can overwrite a typed contract value with the BoQ total</t>
  </si>
  <si>
    <t xml:space="preserve">finCvPatch reads contract_value_source with dbSelect. On an error that returns [], and the .catch never runs. With jf undefined, the function returns {contract_value: total}. On a flaky read, a project whose value was set by hand ("manual") therefore gets the BoQ total written over it.</t>
  </si>
  <si>
    <t xml:space="preserve">9219zi-finance-setup.js:12-15 (finCvPatch). Called from 902:243 (Save) and 9219n:522 (autosave).</t>
  </si>
  <si>
    <t xml:space="preserve">FIN-NEW-04</t>
  </si>
  <si>
    <t xml:space="preserve">Purchases inbox (from the FA-03 fix)</t>
  </si>
  <si>
    <t xml:space="preserve">Filing an inbox invoice by hand on a bad signal says "filed by someone else"</t>
  </si>
  <si>
    <t xml:space="preserve">dbUpdate returns null on a network or HTTP error (it has already shown "Update failed…") and undefined when 0 rows matched. The claim treats both as "already filed".</t>
  </si>
  <si>
    <t xml:space="preserve">9219b-finance-purchases.js:92-93</t>
  </si>
  <si>
    <t xml:space="preserve">FX-P1 (toast part)</t>
  </si>
  <si>
    <t xml:space="preserve">FIN-NEW-05</t>
  </si>
  <si>
    <t xml:space="preserve">Sales invoices (side effect of the FA-12 fix)</t>
  </si>
  <si>
    <t xml:space="preserve">Recently created empty drafts vanish from Sales but still count as "Drafts not sent yet"</t>
  </si>
  <si>
    <t xml:space="preserve">New empty drafts stay in the Sales list so they can be finished or deleted.</t>
  </si>
  <si>
    <t xml:space="preserve">finance-done: 9219:94</t>
  </si>
  <si>
    <t xml:space="preserve">Empty drafts younger than the clean-up age are no longer deleted (correct), but they are also left out of the Sales list. The project page still counts them in "Drafts not sent yet" and links to Sales › Invoices.</t>
  </si>
  <si>
    <t xml:space="preserve">9219-finance-sales-tables.js:87 (an empty draft that isn't "old" goes into neither keep nor gone), and 9219n-finance-newjob.js:225-226 (the project "Needs attention" count).</t>
  </si>
  <si>
    <t xml:space="preserve">FX-P3</t>
  </si>
  <si>
    <t xml:space="preserve">Invoices (FA-10/21)</t>
  </si>
  <si>
    <t xml:space="preserve">Per-line VAT can still be 1p different from Xero on 5% and negative lines</t>
  </si>
  <si>
    <t xml:space="preserve">VAT per line now rounds the same way as Xero.</t>
  </si>
  <si>
    <t xml:space="preserve">finance-done: 901:35</t>
  </si>
  <si>
    <t xml:space="preserve">Math.round(x*100)/100 on a float. 20.10 × 5 / 100 = 1.00499999… rounds to 1.00, where Xero gives 1.01. Negative half-pennies round toward zero (−0.005 → 0), where Xero rounds away from zero (−0.01). At 20% a half-penny can't happen with 2dp amounts. At 5% it can. No issued invoice is affected today (0 of 13).</t>
  </si>
  <si>
    <t xml:space="preserve">src/js/901-finance-invoices.js:33 (finRound(a*c.r/100), with finRound at 901:9)</t>
  </si>
  <si>
    <t xml:space="preserve">FX-P4</t>
  </si>
  <si>
    <t xml:space="preserve">Finance › Settings (FA-27)</t>
  </si>
  <si>
    <t xml:space="preserve">Every Finance-settings save by a non-admin says the project number settings can't be changed</t>
  </si>
  <si>
    <t xml:space="preserve">orgPatch always includes auto_job_numbers and job_number_prefix, even when they weren't touched. For a non-admin (RLS refuses), dbUpdate returns undefined on every save, so the "can only be changed by an admin" toast shows every time. FA-15 promotes Finance users to pm, not admin, so this is the normal case.</t>
  </si>
  <si>
    <t xml:space="preserve">src/js/900-finance.js:158-160, 179</t>
  </si>
  <si>
    <t xml:space="preserve">FX-P5</t>
  </si>
  <si>
    <t xml:space="preserve">Retention (FA-08 / FA-19)</t>
  </si>
  <si>
    <t xml:space="preserve">"Still held" may double-deduct when the client's later certificate already shows reduced retention (Needs check)</t>
  </si>
  <si>
    <t xml:space="preserve">Retention already dropped on a later certificate is no longer taken off twice.</t>
  </si>
  <si>
    <t xml:space="preserve">finance-done: 903:154-167</t>
  </si>
  <si>
    <t xml:space="preserve">Still held = latest certificate's cumulative retention − release invoices issued. Under JCT-style certificates, the certificate issued after practical completion usually already holds only half the retention. If the user enters that certificate and has raised the first-half release invoice, the half is taken off twice: still held drops to about 0, and "Raise invoice" for the second half says "Nothing left to release". It is consistent as long as cert_retention keeps the full held figure until both releases are invoiced. Separately, 911:168 (Reports "Retention held"), 913:64 (retention ledger) and 914:89 (home tile) still show gross, so different screens show different retention figures (known partial).</t>
  </si>
  <si>
    <t xml:space="preserve">src/js/903-finance-certs-retention.js:131-134 (finRetentionHeld = latest cert_retention), 150-156, 141-147</t>
  </si>
  <si>
    <t xml:space="preserve">FX-P6</t>
  </si>
  <si>
    <t xml:space="preserve">Applications (FA-16)</t>
  </si>
  <si>
    <t xml:space="preserve">Two "New application" taps on two devices now quietly make two drafts</t>
  </si>
  <si>
    <t xml:space="preserve">A second "New application" opens the other person's new draft instead of making two.</t>
  </si>
  <si>
    <t xml:space="preserve">finance-done: 902:485</t>
  </si>
  <si>
    <t xml:space="preserve">Before, the second insert failed on the unique (site, number) key. Now it silently becomes N+1. Its % complete lines are copied from N−1 (the last read before the clash), not from N. Nothing tells the user that application N already exists.</t>
  </si>
  <si>
    <t xml:space="preserve">src/js/902-finance-applications.js:458-475</t>
  </si>
  <si>
    <t xml:space="preserve">FX-P7</t>
  </si>
  <si>
    <t xml:space="preserve">Subcontracts / applications numbering (FA-16)</t>
  </si>
  <si>
    <t xml:space="preserve">Any 409 is treated as "number already taken"</t>
  </si>
  <si>
    <t xml:space="preserve">Only a real "number taken" clash is retried; other errors show the real message.</t>
  </si>
  <si>
    <t xml:space="preserve">finance-done: 900:66</t>
  </si>
  <si>
    <t xml:space="preserve">PostgREST also returns 409 for foreign-key violations (23503). finScInsertNumbered retries 4 times and then says "someone else was saving at the same moment". That is misleading. It is dormant for subcontracts until the proposed unique indexes exist.</t>
  </si>
  <si>
    <t xml:space="preserve">src/js/912-finance-subcontracts.js:105; 902-finance-applications.js:470</t>
  </si>
  <si>
    <t xml:space="preserve">FX-P8</t>
  </si>
  <si>
    <t xml:space="preserve">BoQ (FB-07)</t>
  </si>
  <si>
    <t xml:space="preserve">Edits made while "Save Bill of Quantities" is running are dropped</t>
  </si>
  <si>
    <t xml:space="preserve">Edits made while Save runs are kept and saved straight after.</t>
  </si>
  <si>
    <t xml:space="preserve">finance-done: 902:222, 9219n:540</t>
  </si>
  <si>
    <t xml:space="preserve">The Save wrapper's finally sets finCtAuto.again=false. An autosave requested during Save (e.g. a line added or moved) is thrown away. The base Save then sets finContractRows=null and re-renders from the database, so the edit is lost from the screen too.</t>
  </si>
  <si>
    <t xml:space="preserve">src/js/9219n-finance-newjob.js:535-539; base 902-finance-applications.js:213-275</t>
  </si>
  <si>
    <t xml:space="preserve">FX-P9</t>
  </si>
  <si>
    <t xml:space="preserve">Certificate from client's Excel (FB-09)</t>
  </si>
  <si>
    <t xml:space="preserve">Uncapped client variation value in the plain certificate path (Needs check)</t>
  </si>
  <si>
    <t xml:space="preserve">The client's variation value is capped at 100% of ours, as line by line.</t>
  </si>
  <si>
    <t xml:space="preserve">finance-done: 9219p:370</t>
  </si>
  <si>
    <t xml:space="preserve">The variation gross uses the client's £ without a cap, and that goes into finCertGross. The 100% cap only happens later, in line-by-line mode, through finPct in finCertTotals (9219p:514). In line-by-line mode, the "Read from the client's Excel: certified to date £X" note shows the uncapped figure while the box underneath shows the capped one. If plain mode (not finCertMode()) is reachable, the saved cert_gross and cert_lines are uncapped.</t>
  </si>
  <si>
    <t xml:space="preserve">src/js/9219p-finance-app-export.js:369-379</t>
  </si>
  <si>
    <t xml:space="preserve">FX-X1</t>
  </si>
  <si>
    <t xml:space="preserve">Fix check review (outside scope)</t>
  </si>
  <si>
    <t xml:space="preserve">Raise invoice (Andy's 24 Oct change)</t>
  </si>
  <si>
    <t xml:space="preserve">Phone: "Approve &amp; Issue Invoice" issues the invoice with no confirm</t>
  </si>
  <si>
    <t xml:space="preserve">Phones now ask before issuing the invoice.</t>
  </si>
  <si>
    <t xml:space="preserve">finance-done: 9219zf:72</t>
  </si>
  <si>
    <t xml:space="preserve">the "✓ Approve &amp; Issue Invoice" box now shows on phones too and calls issueFinInvoice(siteId, true), which skips the confirm. The old Issue button, which had the confirm, is hidden by html.finidpage. On a phone, one tap now issues an invoice and takes the next invoice number, with no confirmation.</t>
  </si>
  <si>
    <t xml:space="preserve">9219zf-finance-raise-invoice.js:38-45, 72</t>
  </si>
  <si>
    <t xml:space="preserve">NS-L1</t>
  </si>
  <si>
    <t xml:space="preserve">Getting Started (9219zi)</t>
  </si>
  <si>
    <t xml:space="preserve">Getting Started is ticked even when Project Admin's save failed, and the tick can arrive after the redraw</t>
  </si>
  <si>
    <t xml:space="preserve">Getting Started is ticked only when the save worked.</t>
  </si>
  <si>
    <t xml:space="preserve">finance-done: 900:390</t>
  </si>
  <si>
    <t xml:space="preserve">• The wrapper always upserts setup_checked_at after saveSiteFinance returns. The base returns undefined both on success and on every early return: a bad email or retention %, a job-number clash, or the QS save failing in 9219u.
• The base has already called render() (not awaited) before this POST, so the redraw may read job_finance before setup_checked_at is written. This race part is "Needs check".</t>
  </si>
  <si>
    <t xml:space="preserve">9219zi-finance-setup.js:105-113.</t>
  </si>
  <si>
    <t xml:space="preserve">Map L84</t>
  </si>
  <si>
    <t xml:space="preserve">NS-L2</t>
  </si>
  <si>
    <t xml:space="preserve">Contract value pop-up (9219zi)</t>
  </si>
  <si>
    <t xml:space="preserve">"Keep the typed value" is forgotten by the Save pop-up</t>
  </si>
  <si>
    <t xml:space="preserve">The saveFinContract wrapper shows finCvPrompt whenever the values differ. It never checks the finCvAck key that "Keep typed" stores (only the bar does).</t>
  </si>
  <si>
    <t xml:space="preserve">9219zi-finance-setup.js:54-59.</t>
  </si>
  <si>
    <t xml:space="preserve">NS-L3</t>
  </si>
  <si>
    <t xml:space="preserve">Bill of Quantities layout (9219zk)</t>
  </si>
  <si>
    <t xml:space="preserve">Laptop windows narrower than 1100 px, touch laptops and tablets get the phone BoQ list plus the desktop add buttons</t>
  </si>
  <si>
    <r>
      <rPr>
        <sz val="10"/>
        <rFont val="Arial"/>
        <family val="0"/>
        <charset val="1"/>
      </rPr>
      <t xml:space="preserve">• Between 701 and 1099 px (or on any iPad or touch screen), the page draws the phone list but keeps three sets of add buttons: "+ Section / + Sub-section / + Item" at the top and at the bottom, plus "</t>
    </r>
    <r>
      <rPr>
        <sz val="10"/>
        <rFont val="Noto Sans CJK SC"/>
        <family val="2"/>
      </rPr>
      <t xml:space="preserve">＋ </t>
    </r>
    <r>
      <rPr>
        <sz val="10"/>
        <rFont val="Arial"/>
        <family val="0"/>
        <charset val="1"/>
      </rPr>
      <t xml:space="preserve">Add to Bill of Quantities".
• The "Apply to ticked" cost tool also stays, but the phone list has no tick boxes.
• This contradicts the file's "Computers keep the full grid".</t>
    </r>
  </si>
  <si>
    <t xml:space="preserve">• 9219zk-finance-boq-phone.js:11: finBqPhone() is !isDeskMode(), where desk mode means at least 1100 px wide with a fine pointer.
• 9219zk-finance-boq-phone.js:135-137: the CSS hides the old buttons only at max-width:700px.</t>
  </si>
  <si>
    <t xml:space="preserve">NS-L4</t>
  </si>
  <si>
    <t xml:space="preserve">Sales tiles (9219)</t>
  </si>
  <si>
    <t xml:space="preserve">Sales "Applied Value" date fallback never works</t>
  </si>
  <si>
    <t xml:space="preserve">The 24 Oct fallback is dead code.</t>
  </si>
  <si>
    <t xml:space="preserve">9219-finance-sales-tables.js:155-157 uses a.submitted_at||a.created_at, but the select at :102 does not include submitted_at or created_at.</t>
  </si>
  <si>
    <t xml:space="preserve">NS-L5</t>
  </si>
  <si>
    <t xml:space="preserve">Sales › Applications search (9219)</t>
  </si>
  <si>
    <t xml:space="preserve">Applications search promises "client" but can't find by client</t>
  </si>
  <si>
    <t xml:space="preserve">Applications search finds the client.</t>
  </si>
  <si>
    <t xml:space="preserve">finance-done: 9219:44</t>
  </si>
  <si>
    <t xml:space="preserve">9219-finance-sales-tables.js:125 (placeholder "Search application no., project or client") and :49 (data-lf = job tag + "application certificate" + number only).</t>
  </si>
  <si>
    <t xml:space="preserve">NS-L6</t>
  </si>
  <si>
    <t xml:space="preserve">Finance › Projects list (9219zg)</t>
  </si>
  <si>
    <t xml:space="preserve">Finance › Projects: hidden filters keep filtering at other widths, the "n match" count is wrong, and the desktop Sort loses its label</t>
  </si>
  <si>
    <t xml:space="preserve">Phone filters show a chip, the count is right, and the computer shows its normal Sort.</t>
  </si>
  <si>
    <t xml:space="preserve">finance-done: 9219zg:25</t>
  </si>
  <si>
    <t xml:space="preserve">• A client filter set at a wider width (or before rotating a phone or tablet) still hides rows on the phone, with no visible box and no Clear.
• The search box is hidden above 700 px, but finJobQ keeps filtering there.
• On a computer, the footer Sort now shows only "Sort ▾" instead of the current choice ("Sort: Newest project no.").</t>
  </si>
  <si>
    <t xml:space="preserve">• 9219zg-finance-projects-phone.js:65 hides .finprojfilt (Client box and its Clear) under 700 px.
• :9-21: the count ignores rows hidden by the client filter class.
• :36-41: the Sort wrap is not limited to phones; .fjq-sort select{opacity:0} is global.</t>
  </si>
  <si>
    <t xml:space="preserve">NS-L7</t>
  </si>
  <si>
    <t xml:space="preserve">Payment Procedure / contract value source (918, 908, 9219zi)</t>
  </si>
  <si>
    <t xml:space="preserve">Switching a project to applications says the BoQ will set the value, but manual projects keep theirs, and values typed in Project Admin are not protected</t>
  </si>
  <si>
    <t xml:space="preserve">• Only a value typed on the new project form is protected ('manual'). A value typed later in Project Admin on an invoice project keeps source=null, so after "Change to applications" the first BoQ autosave silently replaces it.
• In the opposite case (new-project value), the confirm promises the BoQ will set it, which it won't.</t>
  </si>
  <si>
    <t xml:space="preserve">• 918-finance-billing-type.js:43-45: the confirm text "The contract value will come from the Bill of Quantities".
• 900-finance.js:323: saveSiteFinance never sets contract_value_source.</t>
  </si>
  <si>
    <t xml:space="preserve">NS-L8</t>
  </si>
  <si>
    <t xml:space="preserve">New project form (908)</t>
  </si>
  <si>
    <t xml:space="preserve">New project: a failed PO insert is silent</t>
  </si>
  <si>
    <t xml:space="preserve">If the insert is refused (RLS, a column problem, or the network), the files are already uploaded and the toast says "Project … created".</t>
  </si>
  <si>
    <t xml:space="preserve">908-finance-standalone.js:140. The dbInsert('client_pos', …) result is not checked.</t>
  </si>
  <si>
    <t xml:space="preserve">Map L81</t>
  </si>
  <si>
    <t xml:space="preserve">Phones wipe old copies (app) and the database no longer hands out the tokens (C1). Reconnecting OneDrive replaces the old tokens (your task, under SEC-C1).</t>
  </si>
  <si>
    <t xml:space="preserve">core-done: 060:91-111; security batch 1 (C1)</t>
  </si>
  <si>
    <t xml:space="preserve">060-offline-read-cache.js:46-51 (cacheRows, LRU of 300 entries, CACHE_MAX_ENTRIES at :21); old cache keys onedrive_connections?org_id=eq.&lt;org&gt;&amp;select=access_token (old 380:12) and onedrive_connections?org_id=eq.&lt;org&gt; (old 260:112, select=*, which included the refresh_token).</t>
  </si>
  <si>
    <t xml:space="preserve">Finance rows can only point at your own company's projects (database).</t>
  </si>
  <si>
    <t xml:space="preserve">policies fin_variations_finance, fin_dayworks_finance, fin_job_budgets_finance, fin_job_costs_finance, fin_quotes_finance, fin_quote_items_finance, fin_subcontracts_finance, fin_sub_apps_finance, fin_sub_values_finance and "finance update purchase_orders". Their WITH CHECK is only org_id = my_org_id() AND is_finance(), unlike job_finance, client_pos and fin_contract_items, which also check the site. Client reads at 9219q-finance-summary-cards.js:286-287 and 9219s-finance-boq-tabs.js:264-265.</t>
  </si>
  <si>
    <t xml:space="preserve">Xero edge function (FA-28)</t>
  </si>
  <si>
    <t xml:space="preserve">Deploying the repo xero function also ships v10's "don't sync this supplier" check (Needs check)</t>
  </si>
  <si>
    <t xml:space="preserve">Deployed on purpose with Xero v10: suppliers marked "don't sync" are skipped.</t>
  </si>
  <si>
    <t xml:space="preserve">edge deploy 25 Oct (xero v10)</t>
  </si>
  <si>
    <t xml:space="preserve">It isn't wrong; the deploy just does more than FA-28. The deployed xero function is version 9 and has neither the no_sync supplier block nor FA-28. The repo copy is the v10 source (project doc "xero function v10 source") plus FA-28, so the deploy switches on both. The columns fin_suppliers.no_sync, supplier_id and name exist. Two other points: if a supplier has more than one fin_suppliers row, maybeSingle errors and the block is skipped. All split lines go to the single purchase account, as unsplit bills do.</t>
  </si>
  <si>
    <t xml:space="preserve">supabase/functions/xero/index.ts:337-347 (fin_suppliers.no_sync block) and 349-391</t>
  </si>
  <si>
    <t xml:space="preserve">Still to do: one list, most important first</t>
  </si>
  <si>
    <t xml:space="preserve">Everything still open or partly fixed from the Bugs, Security and New Issues tabs, the left-overs from the fix reports, and your manual tasks. Database changes still need your go-ahead.</t>
  </si>
  <si>
    <t xml:space="preserve">Priority</t>
  </si>
  <si>
    <t xml:space="preserve">What</t>
  </si>
  <si>
    <t xml:space="preserve">Why it matters</t>
  </si>
  <si>
    <t xml:space="preserve">Who</t>
  </si>
  <si>
    <t xml:space="preserve">Refs</t>
  </si>
  <si>
    <t xml:space="preserve">Status</t>
  </si>
  <si>
    <t xml:space="preserve">1 — now</t>
  </si>
  <si>
    <t xml:space="preserve">Turn on leaked-password protection</t>
  </si>
  <si>
    <t xml:space="preserve">Stops people using passwords that are known to have leaked. Supabase › Authentication › Attack Protection (or Passwords).</t>
  </si>
  <si>
    <t xml:space="preserve">You (Andy)</t>
  </si>
  <si>
    <t xml:space="preserve">Your task</t>
  </si>
  <si>
    <t xml:space="preserve">Reconnect OneDrive, and revoke the old Microsoft sessions</t>
  </si>
  <si>
    <t xml:space="preserve">The old tokens could have been read before 25 Oct. Admin Centre › Integrations: disconnect and reconnect. Then Microsoft Entra › the OneDrive user › Revoke sessions.</t>
  </si>
  <si>
    <t xml:space="preserve">SEC-C1, SEC-N1</t>
  </si>
  <si>
    <t xml:space="preserve">Press Push origin for the 26–27 Oct changes (if not done)</t>
  </si>
  <si>
    <t xml:space="preserve">Send pop-up, invoice jobs, purchase invoices table, driver time off and the polish are on the laptop; they go live when pushed.</t>
  </si>
  <si>
    <t xml:space="preserve">2 — soon</t>
  </si>
  <si>
    <t xml:space="preserve">Make the storage buckets private and use signed links</t>
  </si>
  <si>
    <t xml:space="preserve">Files are now limited to your company inside the app, but anyone with a file's exact web link can still open it.</t>
  </si>
  <si>
    <t xml:space="preserve">Claude (database — needs your go-ahead)</t>
  </si>
  <si>
    <t xml:space="preserve">Copy the live Xero and finance-inbox functions into the code</t>
  </si>
  <si>
    <t xml:space="preserve">The live versions are newer than the copies in the code. A redeploy from the code would undo the contra line and the inbox checks.</t>
  </si>
  <si>
    <t xml:space="preserve">Claude (server function)</t>
  </si>
  <si>
    <t xml:space="preserve">Check a driver can mark a collection as received</t>
  </si>
  <si>
    <t xml:space="preserve">If the database doesn't let a driver's login write the "received" mark, it fails quietly. Safer: do it on the server when the delivery task is completed.</t>
  </si>
  <si>
    <t xml:space="preserve">Map L41; materials-done item 4</t>
  </si>
  <si>
    <t xml:space="preserve">Give site variations a value (they reach Finance at £0)</t>
  </si>
  <si>
    <t xml:space="preserve">The only Broken money link that reaches the client: site variations arrive in the register and on applications at £0.</t>
  </si>
  <si>
    <t xml:space="preserve">Claude (app)</t>
  </si>
  <si>
    <t xml:space="preserve">Map L22; P06</t>
  </si>
  <si>
    <t xml:space="preserve">Holiday approvals checked by the database</t>
  </si>
  <si>
    <t xml:space="preserve">Approvals and the limits are only checked in the app, so someone could approve their own holiday through the API.</t>
  </si>
  <si>
    <t xml:space="preserve">Device lock checked by the server at check-in</t>
  </si>
  <si>
    <t xml:space="preserve">The app checks the device, but the server accepts a check-in from any device.</t>
  </si>
  <si>
    <t xml:space="preserve">Finance switch-off restores the old role on every device</t>
  </si>
  <si>
    <t xml:space="preserve">The old role is only remembered on the device that gave Finance. The database column now exists; the app needs to use it.</t>
  </si>
  <si>
    <t xml:space="preserve">Go-live switches: trial stubs and POs for every PM order</t>
  </si>
  <si>
    <t xml:space="preserve">Needed before Finance leaves the trial: fixes Broken links L51, L52, L59 and the PM "To book" badge; PMs without Finance don't raise POs yet.</t>
  </si>
  <si>
    <t xml:space="preserve">P01, P02; Map L28, L51, L52, L59, L73</t>
  </si>
  <si>
    <t xml:space="preserve">3 — later</t>
  </si>
  <si>
    <t xml:space="preserve">Confirm the server's row limit is 1,000 or more</t>
  </si>
  <si>
    <t xml:space="preserve">The new paging assumes it. One quick look in Supabase settings.</t>
  </si>
  <si>
    <t xml:space="preserve">FA-05, CORE-M5</t>
  </si>
  <si>
    <t xml:space="preserve">Unread badges count one-person messages</t>
  </si>
  <si>
    <t xml:space="preserve">They now show in the Inbox, but the home and HUB badges don't count them.</t>
  </si>
  <si>
    <t xml:space="preserve">Check the database lets people read messages sent to them alone</t>
  </si>
  <si>
    <t xml:space="preserve">If not, those messages just don't show (no error).</t>
  </si>
  <si>
    <t xml:space="preserve">Hidden MC tiles can be opened by a direct link</t>
  </si>
  <si>
    <t xml:space="preserve">Hiding a tile only hides the button.</t>
  </si>
  <si>
    <t xml:space="preserve">Schedule of Works page crash on a cut-off link</t>
  </si>
  <si>
    <t xml:space="preserve">A rare crash, not a security hole.</t>
  </si>
  <si>
    <t xml:space="preserve">CORE-L11 (480:854)</t>
  </si>
  <si>
    <t xml:space="preserve">OneDrive "Connected" shows whenever a record exists</t>
  </si>
  <si>
    <t xml:space="preserve">It can say Connected when the connection has actually broken.</t>
  </si>
  <si>
    <t xml:space="preserve">Job check on the Finance link in Finance-only companies</t>
  </si>
  <si>
    <t xml:space="preserve">Small gap left from CORE-C1.</t>
  </si>
  <si>
    <t xml:space="preserve">CORE-C1 (908 finOnlyRoute)</t>
  </si>
  <si>
    <t xml:space="preserve">Manager-only fields on snags, schedule and site layout</t>
  </si>
  <si>
    <t xml:space="preserve">H6 covered variations, permits, RAMS, COSHH and materials. These lower-risk tables still use the general job rule.</t>
  </si>
  <si>
    <t xml:space="preserve">Supplier order email copied to operatives may show the PO number</t>
  </si>
  <si>
    <t xml:space="preserve">Operatives should never see POs. Fix in the order email function.</t>
  </si>
  <si>
    <t xml:space="preserve">materials-done (left over)</t>
  </si>
  <si>
    <t xml:space="preserve">Reopening a cancelled PO leaves its site requests cancelled</t>
  </si>
  <si>
    <t xml:space="preserve">Rare; they stay cancelled with a note.</t>
  </si>
  <si>
    <t xml:space="preserve">Push notification sends the wrong id name</t>
  </si>
  <si>
    <t xml:space="preserve">The app copes; the push function should send the message's own id.</t>
  </si>
  <si>
    <t xml:space="preserve">Lock signed briefings in the database</t>
  </si>
  <si>
    <t xml:space="preserve">The app opens them read-only; the database doesn't stop an edit.</t>
  </si>
  <si>
    <t xml:space="preserve">RAMS numbers reserved by the database</t>
  </si>
  <si>
    <t xml:space="preserve">The app's guarded update works; one database step would be stronger.</t>
  </si>
  <si>
    <t xml:space="preserve">File inbox invoices in one server step</t>
  </si>
  <si>
    <t xml:space="preserve">The short-term fix works; one step can't be half-done.</t>
  </si>
  <si>
    <t xml:space="preserve">Check-ins, incidents and drawings filtered by company in the database</t>
  </si>
  <si>
    <t xml:space="preserve">The app filters them; the tables have no company column.</t>
  </si>
  <si>
    <t xml:space="preserve">Check the server bank-holiday list goes past 2028</t>
  </si>
  <si>
    <t xml:space="preserve">The app now works any year out; the server's auto-booking may not.</t>
  </si>
  <si>
    <t xml:space="preserve">Review the other send/notify functions</t>
  </si>
  <si>
    <t xml:space="preserve">11 were hardened on 25 Oct; about 20 more were never read.</t>
  </si>
  <si>
    <t xml:space="preserve">Inbox mail forwarder: use the key header, then stop accepting the old link</t>
  </si>
  <si>
    <t xml:space="preserve">The key in the link can end up in logs.</t>
  </si>
  <si>
    <t xml:space="preserve">The other Missing links between Projects and Finance</t>
  </si>
  <si>
    <t xml:space="preserve">18 links are still Missing (see Finance-Projects Map v3 and Proposals).</t>
  </si>
  <si>
    <t xml:space="preserve">Map v3; P01–P32</t>
  </si>
  <si>
    <t xml:space="preserve">4 — waiting for you</t>
  </si>
  <si>
    <t xml:space="preserve">Labour (Projects ↔ Finance): full review</t>
  </si>
  <si>
    <t xml:space="preserve">You said: review once everything else is complete, as it is complex.</t>
  </si>
  <si>
    <t xml:space="preserve">Map L48–L56, L62; P01, P09–P12</t>
  </si>
  <si>
    <t xml:space="preserve">Later</t>
  </si>
  <si>
    <t xml:space="preserve">Repair jobs in Finance</t>
  </si>
  <si>
    <t xml:space="preserve">When you ask.</t>
  </si>
  <si>
    <t xml:space="preserve">Map L13–L15; P25</t>
  </si>
  <si>
    <t xml:space="preserve">How Finance and Projects talk to each other (v3)</t>
  </si>
  <si>
    <t xml:space="preserve">Same content as the "Projects ⇄ Finance" map page (data.json, 27 Oct). Status: Working / Partial / Broken / Missing / Needs check / Not needed. Statuses changed only where the 25–26 Oct work or the 24 Oct night fixes (now live) back it up.</t>
  </si>
  <si>
    <t xml:space="preserve">Stage</t>
  </si>
  <si>
    <t xml:space="preserve">From</t>
  </si>
  <si>
    <t xml:space="preserve">To</t>
  </si>
  <si>
    <t xml:space="preserve">Trigger (what the user does)</t>
  </si>
  <si>
    <t xml:space="preserve">What data moves</t>
  </si>
  <si>
    <t xml:space="preserve">Direction</t>
  </si>
  <si>
    <t xml:space="preserve">Code location (v2)</t>
  </si>
  <si>
    <t xml:space="preserve">Notes / gaps (now)</t>
  </si>
  <si>
    <t xml:space="preserve">What changed since v2</t>
  </si>
  <si>
    <t xml:space="preserve">L01</t>
  </si>
  <si>
    <t xml:space="preserve">1. Set up the job</t>
  </si>
  <si>
    <t xml:space="preserve">Admin Centre › Users / Account settings</t>
  </si>
  <si>
    <t xml:space="preserve">Finance access</t>
  </si>
  <si>
    <t xml:space="preserve">Admin taps the Finance switch on a user; the user ticks "Show Finance"</t>
  </si>
  <si>
    <t xml:space="preserve">profiles.finance_enabled, profiles.finance_hidden</t>
  </si>
  <si>
    <t xml:space="preserve">one-way, manual</t>
  </si>
  <si>
    <t xml:space="preserve">900-finance.js:toggleFinanceAccess; 220:setMyFinanceShown; 908:finTeamToggle</t>
  </si>
  <si>
    <t xml:space="preserve">finHasAccess() / isFinanceUser() gate every Finance page and tile. Giving Finance to a non-manager from Finance › Team now asks first ("also makes them a manager") and puts the old role back if Finance doesn't switch on (FA-15).</t>
  </si>
  <si>
    <t xml:space="preserve">L02</t>
  </si>
  <si>
    <t xml:space="preserve">PM home, site home, Admin Centre, router</t>
  </si>
  <si>
    <t xml:space="preserve">Tap the Finance tile or entry</t>
  </si>
  <si>
    <t xml:space="preserve">route #/finance, #/site/&lt;id&gt;/finance/...</t>
  </si>
  <si>
    <t xml:space="preserve">185-pm-home.js:172; 330-site-home.js:228; 260:19; 890-router-render.js:195,453</t>
  </si>
  <si>
    <t xml:space="preserve">Tiles show only when isFinanceUser().</t>
  </si>
  <si>
    <t xml:space="preserve">L03</t>
  </si>
  <si>
    <t xml:space="preserve">11. Reports, Xero &amp; search</t>
  </si>
  <si>
    <t xml:space="preserve">Finance book</t>
  </si>
  <si>
    <t xml:space="preserve">Site home money strip</t>
  </si>
  <si>
    <t xml:space="preserve">A finance user opens a project home (also repair contracts)</t>
  </si>
  <si>
    <t xml:space="preserve">finLoadBook → costs to date, invoiced, margin</t>
  </si>
  <si>
    <t xml:space="preserve">one-way, automatic</t>
  </si>
  <si>
    <t xml:space="preserve">921-finance-home-strip.js:finHomeStripHtml/finHomeStripFill; called at 330:148, 340:214</t>
  </si>
  <si>
    <t xml:space="preserve">Still the full book (about 17 queries, up to 50,000 check-ins) after paint on every project home. 921:50 redraws #finFcSlot through finForecastCardHtml, which 9219zj now makes return '' (harmless on site home, where there is no slot).</t>
  </si>
  <si>
    <t xml:space="preserve">L04</t>
  </si>
  <si>
    <t xml:space="preserve">Finance-only company</t>
  </si>
  <si>
    <t xml:space="preserve">Projects router</t>
  </si>
  <si>
    <t xml:space="preserve">Any navigation when organizations.has_pm=false</t>
  </si>
  <si>
    <t xml:space="preserve">route allow-list</t>
  </si>
  <si>
    <t xml:space="preserve">890:60; 908-finance-standalone.js:finOnlyRoute</t>
  </si>
  <si>
    <t xml:space="preserve">L05</t>
  </si>
  <si>
    <t xml:space="preserve">Projects site record</t>
  </si>
  <si>
    <t xml:space="preserve">Save project details</t>
  </si>
  <si>
    <t xml:space="preserve">sites.name, client_name, address, postcode, start_date, responsible_pm_id, status, job_number</t>
  </si>
  <si>
    <t xml:space="preserve">two-way (same row), manual</t>
  </si>
  <si>
    <t xml:space="preserve">900:saveSiteFinance (295); 908:finJobEditPatch; wrapped by 9219n:179, 9219u:68, 9219zi:107</t>
  </si>
  <si>
    <t xml:space="preserve">Finance edits the Projects record directly. The new 9219zi wrapper also stamps job_finance.setup_checked_at after every save (see L84).</t>
  </si>
  <si>
    <t xml:space="preserve">L06</t>
  </si>
  <si>
    <t xml:space="preserve">Finance settings › Project numbers</t>
  </si>
  <si>
    <t xml:space="preserve">Projects › New site</t>
  </si>
  <si>
    <t xml:space="preserve">Create a site while auto numbering is on</t>
  </si>
  <si>
    <t xml:space="preserve">organizations.auto_job_numbers, job_number_prefix, next_job_number → sites.job_number</t>
  </si>
  <si>
    <t xml:space="preserve">900:saveFinanceSettings, finNextJobNumberLabel; 180-sites-list.js:305,392,415</t>
  </si>
  <si>
    <t xml:space="preserve">next_job_number (and next_invoice_number) are now only written back when the box was actually changed, so a form left open no longer winds the counter back (FA-01). A non-admin is now told the project-number part didn't save (FA-27). Only Finance users can reach this setting.</t>
  </si>
  <si>
    <t xml:space="preserve">L07</t>
  </si>
  <si>
    <t xml:space="preserve">Finance › New job</t>
  </si>
  <si>
    <t xml:space="preserve">Projects sites</t>
  </si>
  <si>
    <t xml:space="preserve">Finance user creates a job</t>
  </si>
  <si>
    <t xml:space="preserve">sites row (name, number, status, PM, single/multi/repair, client, address, start) + job_finance row (+ client_pos, see L81)</t>
  </si>
  <si>
    <t xml:space="preserve">908:openFinNewJob (66), saveFinNewJob (103); 9219e:30-31</t>
  </si>
  <si>
    <t xml:space="preserve">Still blocked by the trial wrapper except in Finance-only and Sandbox orgs, so normal companies must create jobs in Projects. The form now asks for "Payment Procedure", always shows the contract value (kept as contract_value_source='manual' for both types) and takes a client PO number and files. The job_finance upsert result is still not checked.</t>
  </si>
  <si>
    <t xml:space="preserve">L08</t>
  </si>
  <si>
    <t xml:space="preserve">Projects site client_name / client_email</t>
  </si>
  <si>
    <t xml:space="preserve">job_finance billing, sales invoices</t>
  </si>
  <si>
    <t xml:space="preserve">Open project Finance, raise an invoice</t>
  </si>
  <si>
    <t xml:space="preserve">client_name → fin_clients (matched by name) → job_finance.billing_name/address/email → fin_invoices.bill_*</t>
  </si>
  <si>
    <t xml:space="preserve">901-finance-invoices.js:66-67; 9219n:finBillingSync, finBillingSummaryHtml; 9219n:234 "Client not in the Directory"; 9219i:finClientsHtml</t>
  </si>
  <si>
    <t xml:space="preserve">Still matched by name only (no client_id key). "Pull from Xero" no longer adds the same name twice in one run (FB-28), and the "Client not in the Directory" button now works for names with an apostrophe or ampersand (_jsEsc, then escapeHtml at 9219n:238). A spelling difference on the Projects form still means a duplicate or "not in the Directory".</t>
  </si>
  <si>
    <t xml:space="preserve">L09</t>
  </si>
  <si>
    <t xml:space="preserve">10. Getting paid</t>
  </si>
  <si>
    <t xml:space="preserve">Projects site address</t>
  </si>
  <si>
    <t xml:space="preserve">Invoice and application PDFs / Excel</t>
  </si>
  <si>
    <t xml:space="preserve">Issue an invoice, export an application</t>
  </si>
  <si>
    <t xml:space="preserve">sites.address/postcode, job_number, name</t>
  </si>
  <si>
    <t xml:space="preserve">901:395; 9219p-finance-app-export.js:231,407</t>
  </si>
  <si>
    <t xml:space="preserve">L10</t>
  </si>
  <si>
    <t xml:space="preserve">5. Materials &amp; orders</t>
  </si>
  <si>
    <t xml:space="preserve">Projects site job_number / postcode / address</t>
  </si>
  <si>
    <t xml:space="preserve">Purchase invoice inbox job matching</t>
  </si>
  <si>
    <t xml:space="preserve">An invoice is emailed in or uploaded</t>
  </si>
  <si>
    <t xml:space="preserve">text matched to sites.job_number, postcode, address line 1, name</t>
  </si>
  <si>
    <t xml:space="preserve">9219b-finance-purchases.js:finInboxMatchJob, finInboxAutoProcess; supabase/functions/finance-inbox:matchJob</t>
  </si>
  <si>
    <t xml:space="preserve">Plots (site_sub_addresses) and repair_jobs addresses are still never checked, so a plot address lands in Unallocated with no sub_job_id. Filing is now "claimed" first (status=eq.new), so two devices can't file the same email twice (FA-03).</t>
  </si>
  <si>
    <t xml:space="preserve">L11</t>
  </si>
  <si>
    <t xml:space="preserve">Projects site status</t>
  </si>
  <si>
    <t xml:space="preserve">Finance lists and pickers</t>
  </si>
  <si>
    <t xml:space="preserve">Close or reopen a job on either side</t>
  </si>
  <si>
    <t xml:space="preserve">sites.status (finSiteStatus)</t>
  </si>
  <si>
    <t xml:space="preserve">two-way, automatic</t>
  </si>
  <si>
    <t xml:space="preserve">900:finSiteStatus; 9219u:finDeleteJob (763-789)</t>
  </si>
  <si>
    <t xml:space="preserve">Closed jobs drop out of the operative-invoice, yard and inbox pickers. Finance's delete now offers "Close it instead" when finance records exist and writes sites.status=closed, closed_at, closed_by (see L88).</t>
  </si>
  <si>
    <t xml:space="preserve">L12</t>
  </si>
  <si>
    <t xml:space="preserve">Projects › Delete site</t>
  </si>
  <si>
    <t xml:space="preserve">Finance records</t>
  </si>
  <si>
    <t xml:space="preserve">PM deletes an empty-looking site</t>
  </si>
  <si>
    <t xml:space="preserve">site_is_empty RPC decides</t>
  </si>
  <si>
    <t xml:space="preserve">180-sites-list.js:490-529 (deleteSite); 9219u:finDeleteJob</t>
  </si>
  <si>
    <t xml:space="preserve">Projects side unchanged: a PM's delete depends on site_is_empty (not in the repo) and an admin's delete skips the check altogether and hard-deletes the site, finance rows or not. Finance's own delete is now fail-closed and checks 20 finance tables (L88).</t>
  </si>
  <si>
    <t xml:space="preserve">L13</t>
  </si>
  <si>
    <t xml:space="preserve">2. Plan the work</t>
  </si>
  <si>
    <t xml:space="preserve">Projects plots/addresses and repair jobs</t>
  </si>
  <si>
    <t xml:space="preserve">Finance sub-jobs (costs by plot or repair job)</t>
  </si>
  <si>
    <t xml:space="preserve">Open any Finance cost form or report</t>
  </si>
  <si>
    <t xml:space="preserve">site_sub_addresses, repair_jobs → FIN_SUBJOBS (sub_job_id)</t>
  </si>
  <si>
    <t xml:space="preserve">one-way read, automatic</t>
  </si>
  <si>
    <t xml:space="preserve">917-finance-subjobs.js:finSubJobsLoad; 9219zk:finBqEdit (plot picker)</t>
  </si>
  <si>
    <t xml:space="preserve">The new phone BoQ editor (9219zk) also offers the plot / repair-job picker per line (finContractRows[i].sub → fin_contract_items.sub_job_id).</t>
  </si>
  <si>
    <t xml:space="preserve">L14</t>
  </si>
  <si>
    <t xml:space="preserve">Repair job variation_cost</t>
  </si>
  <si>
    <t xml:space="preserve">Finance sub-job value</t>
  </si>
  <si>
    <t xml:space="preserve">Open Costs by repair job</t>
  </si>
  <si>
    <t xml:space="preserve">repair_jobs.variation_cost → value</t>
  </si>
  <si>
    <t xml:space="preserve">917:25; 918-finance-billing-type.js:finSubValues</t>
  </si>
  <si>
    <t xml:space="preserve">L15</t>
  </si>
  <si>
    <t xml:space="preserve">Repair job "Mark as Invoiced"</t>
  </si>
  <si>
    <t xml:space="preserve">Finance sales invoices</t>
  </si>
  <si>
    <t xml:space="preserve">PM ticks Invoiced; Finance raises an invoice</t>
  </si>
  <si>
    <t xml:space="preserve">repair_jobs.invoiced vs fin_invoices</t>
  </si>
  <si>
    <t xml:space="preserve">none</t>
  </si>
  <si>
    <t xml:space="preserve">340-maintenance-repair-contract.js:setRepairJobInvoiced; 901</t>
  </si>
  <si>
    <t xml:space="preserve">Still never linked.</t>
  </si>
  <si>
    <t xml:space="preserve">L16</t>
  </si>
  <si>
    <t xml:space="preserve">Projects profiles (PM / admin / finance)</t>
  </si>
  <si>
    <t xml:space="preserve">Finance QS and PM fields</t>
  </si>
  <si>
    <t xml:space="preserve">Project Admin save</t>
  </si>
  <si>
    <t xml:space="preserve">job_finance.qs_id, sites.responsible_pm_id</t>
  </si>
  <si>
    <t xml:space="preserve">9219u-finance-project-admin.js:finQsOptions, saveSiteFinance wrap (68); 908:finJobEditPatch</t>
  </si>
  <si>
    <t xml:space="preserve">L17</t>
  </si>
  <si>
    <t xml:space="preserve">Finance Bill of Quantities</t>
  </si>
  <si>
    <t xml:space="preserve">Operatives' Schedule of Works</t>
  </si>
  <si>
    <t xml:space="preserve">"Send to the operatives' schedule"</t>
  </si>
  <si>
    <t xml:space="preserve">fin_contract_items (section/subsection/item, plot) → schedule_sections / schedule_tasks with contract_item_id (no prices)</t>
  </si>
  <si>
    <t xml:space="preserve">918:finSendToSow (123)</t>
  </si>
  <si>
    <t xml:space="preserve">Unchanged: deleted BoQ lines leave orphan tasks, qty/unit not carried, repair contracts excluded, a line moved to another plot is only updated.</t>
  </si>
  <si>
    <t xml:space="preserve">L18</t>
  </si>
  <si>
    <t xml:space="preserve">"Copy in N tasks from the site schedule"</t>
  </si>
  <si>
    <t xml:space="preserve">schedule_sections/tasks → fin_contract_items, then contract_item_id written back</t>
  </si>
  <si>
    <t xml:space="preserve">two-way link, manual</t>
  </si>
  <si>
    <t xml:space="preserve">918:finContractFromSow; 902-finance-applications.js:230-231</t>
  </si>
  <si>
    <t xml:space="preserve">Saving the BoQ now stops if the read of saved lines fails (FA-23/FB-07), so a copy-in can't be doubled by a bad signal.</t>
  </si>
  <si>
    <t xml:space="preserve">L19</t>
  </si>
  <si>
    <t xml:space="preserve">3. Progress on site</t>
  </si>
  <si>
    <t xml:space="preserve">SoW task status / percent_complete</t>
  </si>
  <si>
    <t xml:space="preserve">Application line %</t>
  </si>
  <si>
    <t xml:space="preserve">Open an application; tap "Use site progress" or the "Site 40% Use" tag</t>
  </si>
  <si>
    <t xml:space="preserve">schedule_tasks.status, percent_complete averaged per contract_item_id</t>
  </si>
  <si>
    <t xml:space="preserve">one-way, suggested</t>
  </si>
  <si>
    <t xml:space="preserve">918:finSiteProgress; 902:467,504; 9219w:finAppUseSiteProgress, finSpUseLine; 9219ze:1950-1955</t>
  </si>
  <si>
    <t xml:space="preserve">The result of "Use site progress" is now autosaved (9219ze wraps both buttons). Still a plain average, not weighted by value; "In progress" with no % counts as 0.</t>
  </si>
  <si>
    <t xml:space="preserve">L20</t>
  </si>
  <si>
    <t xml:space="preserve">SoW section progress</t>
  </si>
  <si>
    <t xml:space="preserve">Variation % on an application</t>
  </si>
  <si>
    <t xml:space="preserve">Open an application</t>
  </si>
  <si>
    <t xml:space="preserve">schedule_tasks by section → fin_variations.schedule_section_id / variations.schedule_section_id</t>
  </si>
  <si>
    <t xml:space="preserve">9219w:finSiteVarProgress, renderFinApplication wrapper</t>
  </si>
  <si>
    <t xml:space="preserve">L21</t>
  </si>
  <si>
    <t xml:space="preserve">4. Variations &amp; day works</t>
  </si>
  <si>
    <t xml:space="preserve">Projects › Variations (raised on site)</t>
  </si>
  <si>
    <t xml:space="preserve">Finance variations register</t>
  </si>
  <si>
    <t xml:space="preserve">Someone opens BoQ › Variations (or the old register)</t>
  </si>
  <si>
    <t xml:space="preserve">variations → fin_variations (variation_id, title, status, quoted, agreed_value)</t>
  </si>
  <si>
    <t xml:space="preserve">one-way, automatic on view</t>
  </si>
  <si>
    <t xml:space="preserve">9219s-finance-boq-tabs.js:finCtVariationsFill (92-108); 911-finance-qs.js:finVarFromSite</t>
  </si>
  <si>
    <t xml:space="preserve">Still imported only when a Finance user opens that tab, and a PM's on-site approval still becomes 'agreed' (client-approved). Later on-site changes are not re-synced. New: a site variation already on a draft application is now linked to its register copy instead of being added twice (FB-03, 9219s:261-279).</t>
  </si>
  <si>
    <t xml:space="preserve">L22</t>
  </si>
  <si>
    <t xml:space="preserve">Site variation cost_impact</t>
  </si>
  <si>
    <t xml:space="preserve">Application value / register quoted value</t>
  </si>
  <si>
    <t xml:space="preserve">New application, register import</t>
  </si>
  <si>
    <t xml:space="preserve">variations.cost_impact → fin_variations.quoted/agreed_value, application variation value</t>
  </si>
  <si>
    <t xml:space="preserve">902:448; 911:385; 9219s:103; 9219n:586</t>
  </si>
  <si>
    <t xml:space="preserve">800-variations.js is unchanged and still never writes cost_impact, so site variations still arrive at £0, and an "agreed" one goes onto the application at £0. They now also show at £0 in the Overview's Variations row (L85).</t>
  </si>
  <si>
    <t xml:space="preserve">L23</t>
  </si>
  <si>
    <t xml:space="preserve">Finance variation</t>
  </si>
  <si>
    <t xml:space="preserve">"+ Schedule of Works" on a variation</t>
  </si>
  <si>
    <t xml:space="preserve">new schedule_section; fin_variations.schedule_section_id and variations.schedule_section_id</t>
  </si>
  <si>
    <t xml:space="preserve">9219n:591-599 (finVarToSow); 9219s:117</t>
  </si>
  <si>
    <t xml:space="preserve">L24</t>
  </si>
  <si>
    <t xml:space="preserve">Projects "Add variation to schedule"</t>
  </si>
  <si>
    <t xml:space="preserve">Finance register "On the schedule"</t>
  </si>
  <si>
    <t xml:space="preserve">PM adds an approved site variation to the SoW</t>
  </si>
  <si>
    <t xml:space="preserve">variations.schedule_section_id</t>
  </si>
  <si>
    <t xml:space="preserve">one-way read</t>
  </si>
  <si>
    <t xml:space="preserve">480-schedule-of-works-from-library-site-side.js:929-933; 9219s:inSow</t>
  </si>
  <si>
    <t xml:space="preserve">Site variations auto-closed on site (480:1208) are still not seen by Finance.</t>
  </si>
  <si>
    <t xml:space="preserve">L25</t>
  </si>
  <si>
    <t xml:space="preserve">Finance variation status</t>
  </si>
  <si>
    <t xml:space="preserve">Projects variation</t>
  </si>
  <si>
    <t xml:space="preserve">Finance marks a variation rejected or agreed</t>
  </si>
  <si>
    <t xml:space="preserve">fin_variations.status → variations.approval_status</t>
  </si>
  <si>
    <t xml:space="preserve">9219s:finVarSetGroup</t>
  </si>
  <si>
    <t xml:space="preserve">Still one-way only.</t>
  </si>
  <si>
    <t xml:space="preserve">L26</t>
  </si>
  <si>
    <t xml:space="preserve">Price tile "Variations to Price"</t>
  </si>
  <si>
    <t xml:space="preserve">Finance variations / costs</t>
  </si>
  <si>
    <t xml:space="preserve">Operative claims extra; PM approves</t>
  </si>
  <si>
    <t xml:space="preserve">additional_works_requests (amount, note, photo)</t>
  </si>
  <si>
    <t xml:space="preserve">390-pricing-elements.js:211-290</t>
  </si>
  <si>
    <t xml:space="preserve">L27</t>
  </si>
  <si>
    <t xml:space="preserve">Site day work</t>
  </si>
  <si>
    <t xml:space="preserve">Finance day works register → applications</t>
  </si>
  <si>
    <t xml:space="preserve">Finance types a day work</t>
  </si>
  <si>
    <t xml:space="preserve">fin_dayworks (approved) → application dayworks</t>
  </si>
  <si>
    <t xml:space="preserve">Finance only, manual</t>
  </si>
  <si>
    <t xml:space="preserve">9219s:176-250; 902:432</t>
  </si>
  <si>
    <t xml:space="preserve">Still no day-work sheet on site. Finance-side only: the older Excel upload keeps fin_daywork_id (FA-22) and certificates now carry day-work lines (FB-09).</t>
  </si>
  <si>
    <t xml:space="preserve">L28</t>
  </si>
  <si>
    <t xml:space="preserve">Material Requests › Send order</t>
  </si>
  <si>
    <t xml:space="preserve">Finance purchase orders</t>
  </si>
  <si>
    <t xml:space="preserve">PM sends a material order (single or grouped)</t>
  </si>
  <si>
    <t xml:space="preserve">materials ids, supplier, branch, fulfilment, required date → fin_raise_po → purchase_orders; PO id goes on the order email</t>
  </si>
  <si>
    <t xml:space="preserve">760-price-builder-rate-card-admin-centre-wip.js:confirmSendMaterial (501), confirmSendGroupedMaterial (601); 904-finance-purchasing.js:finRaisePoForOrder (12-13)</t>
  </si>
  <si>
    <t xml:space="preserve">The isFinanceUser() gate is still at 904:13, so PMs without Finance never raise POs, despite the settings text. During the trial fin_raise_po also needs po_enabled.</t>
  </si>
  <si>
    <t xml:space="preserve">L29</t>
  </si>
  <si>
    <t xml:space="preserve">Material Requests › Send again</t>
  </si>
  <si>
    <t xml:space="preserve">Re-send an order that was already sent</t>
  </si>
  <si>
    <t xml:space="preserve">fin_raise_po called again for the same material ids</t>
  </si>
  <si>
    <t xml:space="preserve">760:530 sendMaterialAgain → confirmSend… → 904:finRaisePoForOrder</t>
  </si>
  <si>
    <t xml:space="preserve">A request on a sent PO is locked in Projects (in the app and in the database), so "Send again" can't raise a second PO. Changes are made on the PO in Finance.</t>
  </si>
  <si>
    <t xml:space="preserve">Fixed 25 Oct — sent orders are locked in Projects</t>
  </si>
  <si>
    <t xml:space="preserve">L30</t>
  </si>
  <si>
    <t xml:space="preserve">Material request cancelled / deleted</t>
  </si>
  <si>
    <t xml:space="preserve">Finance PO / committed cost</t>
  </si>
  <si>
    <t xml:space="preserve">PM cancels or deletes a request after it was ordered</t>
  </si>
  <si>
    <t xml:space="preserve">materials.status=cancelled or row deleted; PO unchanged</t>
  </si>
  <si>
    <t xml:space="preserve">760:cancelMaterial (264), deleteSelectedMaterials (557); 904:renderFinPo ("Removed" pill)</t>
  </si>
  <si>
    <t xml:space="preserve">Requests on a sent PO are locked in Projects. Cancelling the PO in Finance, or taking lines off it ("Remove lines…"), cancels the matching requests and updates the PO value. Left: reopening a cancelled PO doesn't un-cancel the requests.</t>
  </si>
  <si>
    <t xml:space="preserve">Built 25 Oct — Finance changes the PO and the site requests follow</t>
  </si>
  <si>
    <t xml:space="preserve">L31</t>
  </si>
  <si>
    <t xml:space="preserve">Project quotes / shopping list</t>
  </si>
  <si>
    <t xml:space="preserve">Material request line and PO price</t>
  </si>
  <si>
    <t xml:space="preserve">Pick "From a project quote" when requesting</t>
  </si>
  <si>
    <t xml:space="preserve">fin_shop_items id → materials.shop_item_id → PO rate source 'list'</t>
  </si>
  <si>
    <t xml:space="preserve">915-finance-pricing.js:openShopPicker, pickShopItem, finShopPickFor; 760:282-284; 720:348</t>
  </si>
  <si>
    <t xml:space="preserve">Picker still Finance-users-only (720:348).</t>
  </si>
  <si>
    <t xml:space="preserve">L32</t>
  </si>
  <si>
    <t xml:space="preserve">Material request plot / repair job</t>
  </si>
  <si>
    <t xml:space="preserve">PO sub_job_id → purchase invoice</t>
  </si>
  <si>
    <t xml:space="preserve">Request for Plot 3 is ordered</t>
  </si>
  <si>
    <t xml:space="preserve">materials.sub_site_id / repair_job_id → purchase_orders.sub_job_id</t>
  </si>
  <si>
    <t xml:space="preserve">917 header; inside fin_raise_po</t>
  </si>
  <si>
    <t xml:space="preserve">Client still passes no sub-job.</t>
  </si>
  <si>
    <t xml:space="preserve">L33</t>
  </si>
  <si>
    <t xml:space="preserve">Goods received note (GRN) on a delivery</t>
  </si>
  <si>
    <t xml:space="preserve">PO page, purchase invoice checks</t>
  </si>
  <si>
    <t xml:space="preserve">Operative or PM saves a GRN</t>
  </si>
  <si>
    <t xml:space="preserve">materials.grn {ok, notes, photos} → PO item "Received / problem", PI query flags, Checks column</t>
  </si>
  <si>
    <t xml:space="preserve">one-way, automatic read</t>
  </si>
  <si>
    <t xml:space="preserve">726-suppliers-branches-grn.js:saveGrn; 904:102,125,241-243; 9219g:44-52; 9219b:finInboxFileCore (73-104)</t>
  </si>
  <si>
    <t xml:space="preserve">A delivery saved with a problem now puts the PO's supplier invoices on query and tells Finance (L34). A driver's collection now counts as received (L41). Still: inbox filing itself doesn't check "not received", and POs raised in Finance have no request lines to receive against.</t>
  </si>
  <si>
    <t xml:space="preserve">Notes updated</t>
  </si>
  <si>
    <t xml:space="preserve">L34</t>
  </si>
  <si>
    <t xml:space="preserve">GRN with a problem</t>
  </si>
  <si>
    <t xml:space="preserve">Finance team</t>
  </si>
  <si>
    <t xml:space="preserve">GRN saved with ok=false</t>
  </si>
  <si>
    <t xml:space="preserve">message to site thread only</t>
  </si>
  <si>
    <t xml:space="preserve">none to Finance</t>
  </si>
  <si>
    <t xml:space="preserve">726:128-129</t>
  </si>
  <si>
    <t xml:space="preserve">Saving a delivery with a problem tells Finance (Inbox: "Delivery problem") and puts that PO's supplier invoices on query. Operatives see "the office has been told", with no PO or invoice wording. Tapping the message takes a Finance user to the PO.</t>
  </si>
  <si>
    <t xml:space="preserve">Built 25 Oct — delivery problems go to Finance</t>
  </si>
  <si>
    <t xml:space="preserve">L35</t>
  </si>
  <si>
    <t xml:space="preserve">Finance › New PO</t>
  </si>
  <si>
    <t xml:space="preserve">Projects Materials, Delivery Schedule, site calendar</t>
  </si>
  <si>
    <t xml:space="preserve">Finance raises a PO (909 / 9219zb)</t>
  </si>
  <si>
    <t xml:space="preserve">purchase_orders only (fin_new_po)</t>
  </si>
  <si>
    <t xml:space="preserve">none to Projects</t>
  </si>
  <si>
    <t xml:space="preserve">909-finance-po.js:108; 9219zb-finance-po-builder.js:142</t>
  </si>
  <si>
    <t xml:space="preserve">Managers see an "Ordered By The Office" card on the job's Materials (PO number, supplier, delivery or collection date, each line received / problem / not received; no prices). Delivery and collection dates show on the job calendar for everyone and on the all-projects calendar for managers. Operatives never see PO numbers.</t>
  </si>
  <si>
    <t xml:space="preserve">Built 25 Oct — office orders and delivery dates show on the job</t>
  </si>
  <si>
    <t xml:space="preserve">L36</t>
  </si>
  <si>
    <t xml:space="preserve">Site team (site_assignments)</t>
  </si>
  <si>
    <t xml:space="preserve">Finance PO site contact</t>
  </si>
  <si>
    <t xml:space="preserve">Build a PO</t>
  </si>
  <si>
    <t xml:space="preserve">site_assignments → contact picker (PM, operatives, admins)</t>
  </si>
  <si>
    <t xml:space="preserve">one-way read, manual</t>
  </si>
  <si>
    <t xml:space="preserve">9219zb:65</t>
  </si>
  <si>
    <t xml:space="preserve">L37</t>
  </si>
  <si>
    <t xml:space="preserve">Projects suppliers list</t>
  </si>
  <si>
    <t xml:space="preserve">Finance POs, purchase invoices, inbox</t>
  </si>
  <si>
    <t xml:space="preserve">Raise a PO, add a PI, inbox reading</t>
  </si>
  <si>
    <t xml:space="preserve">suppliers (id, name, email)</t>
  </si>
  <si>
    <t xml:space="preserve">909; 9219zb; 904:174 (datalist); 9219b:44</t>
  </si>
  <si>
    <t xml:space="preserve">L38</t>
  </si>
  <si>
    <t xml:space="preserve">Projects suppliers ↔ Finance Directory suppliers</t>
  </si>
  <si>
    <t xml:space="preserve">Spend, VAT defaults, Xero no-sync</t>
  </si>
  <si>
    <t xml:space="preserve">Link in Directory; auto on Xero pull or new PO supplier by exact name</t>
  </si>
  <si>
    <t xml:space="preserve">fin_suppliers.supplier_id → suppliers.id</t>
  </si>
  <si>
    <t xml:space="preserve">two-way join, manual plus auto-by-name</t>
  </si>
  <si>
    <t xml:space="preserve">9219zc-supplier-link.js; 9219j-finance-directory.js:167-168</t>
  </si>
  <si>
    <t xml:space="preserve">Purchase invoices off a PO still keep only supplier_name text; the duplicate check (904:233) now re-runs when supplier or number changes (FA-29) but still matches by name.</t>
  </si>
  <si>
    <t xml:space="preserve">L39</t>
  </si>
  <si>
    <t xml:space="preserve">Directory supplier default VAT</t>
  </si>
  <si>
    <t xml:space="preserve">PO lines</t>
  </si>
  <si>
    <t xml:space="preserve">Pick the supplier on a Finance PO</t>
  </si>
  <si>
    <t xml:space="preserve">fin_suppliers.purchase_vat → line VAT</t>
  </si>
  <si>
    <t xml:space="preserve">9219j:271-283; 9219o:finVatKeysWith</t>
  </si>
  <si>
    <t xml:space="preserve">Still Finance-built POs only; Materials-tile POs use fin_settings.po_vat_default on the server. Drop-downs now show a switched-off rate the record still uses instead of looking like 20% (FB-27).</t>
  </si>
  <si>
    <t xml:space="preserve">L40</t>
  </si>
  <si>
    <t xml:space="preserve">Supplier branches</t>
  </si>
  <si>
    <t xml:space="preserve">PO</t>
  </si>
  <si>
    <t xml:space="preserve">Order sent to a branch</t>
  </si>
  <si>
    <t xml:space="preserve">branch name → purchase_orders.supplier_branch</t>
  </si>
  <si>
    <t xml:space="preserve">726; 904:19</t>
  </si>
  <si>
    <t xml:space="preserve">L41</t>
  </si>
  <si>
    <t xml:space="preserve">Delivery Schedule collection</t>
  </si>
  <si>
    <t xml:space="preserve">PO / GRN</t>
  </si>
  <si>
    <t xml:space="preserve">Driver completes an order collection</t>
  </si>
  <si>
    <t xml:space="preserve">delivery_tasks (no po_id / material ids)</t>
  </si>
  <si>
    <t xml:space="preserve">760:bookOrderCollection; 840-delivery-driver.js</t>
  </si>
  <si>
    <t xml:space="preserve">Booking a collection links the driver's task to the PO and its items. When the driver completes it, each item not yet received is marked received ("Collected by &lt;driver&gt;", with the photos). Needs check: whether the database lets a driver's login write the "received" mark — if not, it fails quietly. Safer: do it on the server when the task is completed.</t>
  </si>
  <si>
    <t xml:space="preserve">Built 25 Oct — a driver's collection counts as goods received</t>
  </si>
  <si>
    <t xml:space="preserve">L42</t>
  </si>
  <si>
    <t xml:space="preserve">Projects › Material PO's folders</t>
  </si>
  <si>
    <t xml:space="preserve">OneDrive sync or upload of PO PDFs</t>
  </si>
  <si>
    <t xml:space="preserve">material_order_files / folders (+ calendar)</t>
  </si>
  <si>
    <t xml:space="preserve">770-material-po-s-pm-admin-managed-folders-o.js</t>
  </si>
  <si>
    <t xml:space="preserve">Finance PO PDFs (from "PO PDF" and "Email to supplier") are saved into the job's Material PO's › Finance POs folder, updated in place (no duplicates). Managers only.</t>
  </si>
  <si>
    <t xml:space="preserve">Built 25 Oct — Finance PO PDFs appear in Material PO's</t>
  </si>
  <si>
    <t xml:space="preserve">L43</t>
  </si>
  <si>
    <t xml:space="preserve">6. Yard stock</t>
  </si>
  <si>
    <t xml:space="preserve">SoW waste / leftover flags</t>
  </si>
  <si>
    <t xml:space="preserve">Yard stock / job cost</t>
  </si>
  <si>
    <t xml:space="preserve">Operative ticks "Leftover material" or "Waste to clear"</t>
  </si>
  <si>
    <t xml:space="preserve">schedule_section_flags → delivery_requests (trigger) → Delivery Schedule</t>
  </si>
  <si>
    <t xml:space="preserve">480:314-405; 870-delivery-schedule-pm-admin-side.js:247-288</t>
  </si>
  <si>
    <t xml:space="preserve">Not wanted (Andy, 25 Oct): SoW waste and leftovers stay separate from the yard.</t>
  </si>
  <si>
    <t xml:space="preserve">L44</t>
  </si>
  <si>
    <t xml:space="preserve">Material Requests "Fill from yard stock"</t>
  </si>
  <si>
    <t xml:space="preserve">Yard stock + job costs</t>
  </si>
  <si>
    <t xml:space="preserve">PM fills a request from the yard</t>
  </si>
  <si>
    <t xml:space="preserve">yard_moves (issue, material_id) → yard_stock qty; trigger yard_move_apply → fin_job_costs (qty × rate); materials closed "Yard stock"</t>
  </si>
  <si>
    <t xml:space="preserve">720:239,276; 9219m-yard-stock.js:yardMoveOpen, yardMoveSave (190-195)</t>
  </si>
  <si>
    <t xml:space="preserve">Cost still depends on the yard_move_apply trigger; an item without a rate still puts no cost on the job and PMs can't see that. The yard pop-ups are now appended to &lt;body&gt;, so they show on top from any screen.</t>
  </si>
  <si>
    <t xml:space="preserve">L45</t>
  </si>
  <si>
    <t xml:space="preserve">Material Requests "📦 Yard stock" chip</t>
  </si>
  <si>
    <t xml:space="preserve">PM quick-issues or returns from the overlay</t>
  </si>
  <si>
    <t xml:space="preserve">yard_moves issue/return (site_id) → fin_job_costs</t>
  </si>
  <si>
    <t xml:space="preserve">9219m:206-251 (matTopTabsHtml wrap, yardQuickIssue)</t>
  </si>
  <si>
    <t xml:space="preserve">Not tied to a material request, so the same need can also be ordered.</t>
  </si>
  <si>
    <t xml:space="preserve">L46</t>
  </si>
  <si>
    <t xml:space="preserve">Finance › Purchases "+ Yard Stock" and yard cost edit</t>
  </si>
  <si>
    <t xml:space="preserve">Yard and job cost</t>
  </si>
  <si>
    <t xml:space="preserve">Finance issues or edits a yard cost</t>
  </si>
  <si>
    <t xml:space="preserve">yard_moves, yard_cost_edit RPC, fin_job_costs</t>
  </si>
  <si>
    <t xml:space="preserve">two-way, manual</t>
  </si>
  <si>
    <t xml:space="preserve">9219z-finance-purchase-quotes.js:209; 9219zd-price-list-edit.js:113-160</t>
  </si>
  <si>
    <t xml:space="preserve">L47</t>
  </si>
  <si>
    <t xml:space="preserve">Yard "Book stock in"</t>
  </si>
  <si>
    <t xml:space="preserve">PO / purchase invoice</t>
  </si>
  <si>
    <t xml:space="preserve">Stock is bought for the yard</t>
  </si>
  <si>
    <t xml:space="preserve">yard_moves kind=in, rate typed by hand</t>
  </si>
  <si>
    <t xml:space="preserve">9219m:yardMoveSave</t>
  </si>
  <si>
    <t xml:space="preserve">Book stock in from Projects › Materials (PMs), the driver's home screen and Finance › Yard stock. It records item, quantity, supplier, the PO or delivery note number and a photo. Finance users can pick the PO itself, which links the booking to it; PMs and drivers type the number. Not linked to the supplier invoice; rates stay with the office.</t>
  </si>
  <si>
    <t xml:space="preserve">Built 25 Oct — book stock in from Projects › Materials (PMs), the driver home screen and Finance; can link to a PO and a delivery note photo</t>
  </si>
  <si>
    <t xml:space="preserve">L48</t>
  </si>
  <si>
    <t xml:space="preserve">7. Labour</t>
  </si>
  <si>
    <t xml:space="preserve">Check-ins</t>
  </si>
  <si>
    <t xml:space="preserve">PAYE labour cost on the job</t>
  </si>
  <si>
    <t xml:space="preserve">Operative checks in</t>
  </si>
  <si>
    <t xml:space="preserve">checkins (type=in, site_id, sub_site_id, ts) × fin_labour_rates.day_rate for pay_type paye</t>
  </si>
  <si>
    <t xml:space="preserve">9219c-finance-operatives.js:finJobLabour (298-313); 911:69-90; 905:finLabourDaysFrom</t>
  </si>
  <si>
    <t xml:space="preserve">Unchanged: one full day per person per site per date (two jobs = two day rates), hours ignored, no repair-job allocation.</t>
  </si>
  <si>
    <t xml:space="preserve">L49</t>
  </si>
  <si>
    <t xml:space="preserve">CIS operative invoices</t>
  </si>
  <si>
    <t xml:space="preserve">Operative invoice entered</t>
  </si>
  <si>
    <t xml:space="preserve">(none)</t>
  </si>
  <si>
    <t xml:space="preserve">9219c:saveFinOpInvoice; 9218-finance-payrun.js:finPayLinesFor (unused)</t>
  </si>
  <si>
    <t xml:space="preserve">finPayLinesFor got the UK-midnight fix (FA-26) but is still never called.</t>
  </si>
  <si>
    <t xml:space="preserve">L50</t>
  </si>
  <si>
    <t xml:space="preserve">Finance operative invoice</t>
  </si>
  <si>
    <t xml:space="preserve">Job labour cost</t>
  </si>
  <si>
    <t xml:space="preserve">Save an operative invoice</t>
  </si>
  <si>
    <t xml:space="preserve">fin_sub_payments.lines[{site_id, amount}] → cost lines; fin_sub_payments.materials → materials cost lines</t>
  </si>
  <si>
    <t xml:space="preserve">9219c:saveFinOpInvoice; 911:72-86; 9219g:199-221 (Xero guard)</t>
  </si>
  <si>
    <t xml:space="preserve">Materials the operative supplied now reach the job costs as a "Materials supplied by operative" line, shared by each job line's labour value (FA-13). Editing or cancelling one already in Xero now asks first (FA-11).</t>
  </si>
  <si>
    <t xml:space="preserve">L51</t>
  </si>
  <si>
    <t xml:space="preserve">PM Price tile "Wages to book" → price wages</t>
  </si>
  <si>
    <t xml:space="preserve">Save or cancel an operative invoice; PM books it</t>
  </si>
  <si>
    <t xml:space="preserve">wage_pushes → price_week_operative_entries (+ price_weeks roll-up)</t>
  </si>
  <si>
    <t xml:space="preserve">two-way, suggested</t>
  </si>
  <si>
    <t xml:space="preserve">9219c:finOpPushToPm (217); 9217-wage-pushes.js:pmWagePushesHtml (75), pmWagePushBook; 390:965; stubs 9219e:37-38</t>
  </si>
  <si>
    <t xml:space="preserve">Still dead: the 9219e stubs replace finOpPushToPm and pmWagePushesHtml. The 24 Oct fixes (withdrawn push zeroes the booked price line, double-tap guard, FA-17) are dormant behind them. Site home still counts pending wage_pushes (330:69).</t>
  </si>
  <si>
    <t xml:space="preserve">L52</t>
  </si>
  <si>
    <t xml:space="preserve">Finance timesheets</t>
  </si>
  <si>
    <t xml:space="preserve">wage_pushes</t>
  </si>
  <si>
    <t xml:space="preserve">(was: save a timesheet)</t>
  </si>
  <si>
    <t xml:space="preserve">fin_labour_manual → wage_pushes</t>
  </si>
  <si>
    <t xml:space="preserve">9217:finWagePush (11)</t>
  </si>
  <si>
    <t xml:space="preserve">Still never called; its withdraw step now uses finWagePushWithdraw. fin_labour_manual rows are still costed.</t>
  </si>
  <si>
    <t xml:space="preserve">L53</t>
  </si>
  <si>
    <t xml:space="preserve">Price tile labour wages / booked in</t>
  </si>
  <si>
    <t xml:space="preserve">Finance labour cost and budget</t>
  </si>
  <si>
    <t xml:space="preserve">PM types weekly wages per operative, books in price weeks</t>
  </si>
  <si>
    <t xml:space="preserve">price_week_operative_entries, price_weeks, pricing_elements.price_total</t>
  </si>
  <si>
    <t xml:space="preserve">390:468-630,1595-1761</t>
  </si>
  <si>
    <t xml:space="preserve">L54</t>
  </si>
  <si>
    <t xml:space="preserve">Price tile › Labour Invoices (files)</t>
  </si>
  <si>
    <t xml:space="preserve">Finance operative invoices</t>
  </si>
  <si>
    <t xml:space="preserve">PM uploads an operative's invoice PDF or Excel</t>
  </si>
  <si>
    <t xml:space="preserve">labour_invoices (bucket labour-invoices)</t>
  </si>
  <si>
    <t xml:space="preserve">410-labour-invoices.js:uploadLabourInvoices</t>
  </si>
  <si>
    <t xml:space="preserve">L55</t>
  </si>
  <si>
    <t xml:space="preserve">Projects operatives (profiles)</t>
  </si>
  <si>
    <t xml:space="preserve">Finance People &amp; rates</t>
  </si>
  <si>
    <t xml:space="preserve">Open People &amp; rates or Directory › Labour</t>
  </si>
  <si>
    <t xml:space="preserve">profiles (operative, site_manager) ↔ fin_labour_rates.user_id</t>
  </si>
  <si>
    <t xml:space="preserve">two-way join, manual</t>
  </si>
  <si>
    <t xml:space="preserve">9219d-finance-people.js:16-19; 9219j:296-299; 9216-finance-xero-workers.js:finXwMatch</t>
  </si>
  <si>
    <t xml:space="preserve">L56</t>
  </si>
  <si>
    <t xml:space="preserve">Subcontractor sign-up form</t>
  </si>
  <si>
    <t xml:space="preserve">Finance Directory › Labour (CIS)</t>
  </si>
  <si>
    <t xml:space="preserve">Finance taps "Add" on a submitted form</t>
  </si>
  <si>
    <t xml:space="preserve">subcontractor_applications.data (UTR, CIS status, VAT, company no., address) → fin_labour_rates</t>
  </si>
  <si>
    <t xml:space="preserve">866/867; 9219j:finDirFromAppDo (333-340)</t>
  </si>
  <si>
    <t xml:space="preserve">Insurance expiry dates still not carried over.</t>
  </si>
  <si>
    <t xml:space="preserve">L57</t>
  </si>
  <si>
    <t xml:space="preserve">8. Subcontractors</t>
  </si>
  <si>
    <t xml:space="preserve">Projects subcontractor companies</t>
  </si>
  <si>
    <t xml:space="preserve">Finance subcontract orders / workers</t>
  </si>
  <si>
    <t xml:space="preserve">Subbie set up on site, then ordered in Finance</t>
  </si>
  <si>
    <t xml:space="preserve">subcontractor_companies / subcontractor_operatives vs fin_subcontracts.name / fin_labour_rates</t>
  </si>
  <si>
    <t xml:space="preserve">380, 550, 570; 912-finance-subcontracts.js:openFinSubcontract</t>
  </si>
  <si>
    <t xml:space="preserve">L58</t>
  </si>
  <si>
    <t xml:space="preserve">PM issues a price sheet</t>
  </si>
  <si>
    <t xml:space="preserve">Finance subcontract order</t>
  </si>
  <si>
    <t xml:space="preserve">Price sheet issued or re-issued</t>
  </si>
  <si>
    <t xml:space="preserve">price_builder_sheets → fin_subcontracts (source=price_sheet, order_value follows) via DB trigger fin_sheet_to_order</t>
  </si>
  <si>
    <t xml:space="preserve">912 (comment); 9219c:60; 400</t>
  </si>
  <si>
    <t xml:space="preserve">Trigger still not in the repo.</t>
  </si>
  <si>
    <t xml:space="preserve">L59</t>
  </si>
  <si>
    <t xml:space="preserve">PM Price file (pricing element + issued sheet)</t>
  </si>
  <si>
    <t xml:space="preserve">Save a new subcontractor PO with "Add to the project's Price file" ticked</t>
  </si>
  <si>
    <t xml:space="preserve">pricing_elements, price_builder_sheets, price_builder_sheet_items, fin_subcontracts.price_sheet_id</t>
  </si>
  <si>
    <t xml:space="preserve">912:finScSyncSheet (366), called at 88; checkbox 912:342; stub 9219e:39</t>
  </si>
  <si>
    <t xml:space="preserve">Still replaced by the empty stub; the checkbox is still ticked by default on a new order and silently does nothing.</t>
  </si>
  <si>
    <t xml:space="preserve">L60</t>
  </si>
  <si>
    <t xml:space="preserve">Finance subcontract page</t>
  </si>
  <si>
    <t xml:space="preserve">PM price sheet</t>
  </si>
  <si>
    <t xml:space="preserve">Open a subcontract</t>
  </si>
  <si>
    <t xml:space="preserve">price_builder_sheets (title, status, total)</t>
  </si>
  <si>
    <t xml:space="preserve">912:113,289-292</t>
  </si>
  <si>
    <t xml:space="preserve">L61</t>
  </si>
  <si>
    <t xml:space="preserve">Snags on subcontractor work</t>
  </si>
  <si>
    <t xml:space="preserve">Subcontract contra charges</t>
  </si>
  <si>
    <t xml:space="preserve">Snag raised and assigned</t>
  </si>
  <si>
    <t xml:space="preserve">snags vs fin_sub_apps.contra (typed)</t>
  </si>
  <si>
    <t xml:space="preserve">500-snagging.js; 912</t>
  </si>
  <si>
    <t xml:space="preserve">Contra now counts as paid for CIS (FA-06), but still typed by hand.</t>
  </si>
  <si>
    <t xml:space="preserve">L62</t>
  </si>
  <si>
    <t xml:space="preserve">Delivery driver hours</t>
  </si>
  <si>
    <t xml:space="preserve">Labour / transport cost</t>
  </si>
  <si>
    <t xml:space="preserve">Driver checks in and out</t>
  </si>
  <si>
    <t xml:space="preserve">driver_checkins, driver_breaks</t>
  </si>
  <si>
    <t xml:space="preserve">840; 870:driverWeekHoursHtml</t>
  </si>
  <si>
    <t xml:space="preserve">L63</t>
  </si>
  <si>
    <t xml:space="preserve">9. Plant &amp; expenses</t>
  </si>
  <si>
    <t xml:space="preserve">Plant register</t>
  </si>
  <si>
    <t xml:space="preserve">Job plant cost</t>
  </si>
  <si>
    <t xml:space="preserve">Plant item transferred to or checked out on a site</t>
  </si>
  <si>
    <t xml:space="preserve">plant_items.current_site_id, plant_transfers, plant_checkouts</t>
  </si>
  <si>
    <t xml:space="preserve">740-plant-company-wide-plant-tool-register-c.js:transferPlantItemHere, signPlantCheckout</t>
  </si>
  <si>
    <t xml:space="preserve">L64</t>
  </si>
  <si>
    <t xml:space="preserve">External plant hire</t>
  </si>
  <si>
    <t xml:space="preserve">Finance adds a hire</t>
  </si>
  <si>
    <t xml:space="preserve">fin_plant_hires (rate × days or "from invoices") → cost lines</t>
  </si>
  <si>
    <t xml:space="preserve">905-finance-labour-plant.js:openFinPlantForm, finPlantCost; 911:87-90; 910:589-606</t>
  </si>
  <si>
    <t xml:space="preserve">Inside Finance the plant card no longer double-counts hires costed from invoices (FA-20). Site still has no view of what is on hire and no off-hire request.</t>
  </si>
  <si>
    <t xml:space="preserve">L65</t>
  </si>
  <si>
    <t xml:space="preserve">Projects handover / practical completion</t>
  </si>
  <si>
    <t xml:space="preserve">Retention release dates</t>
  </si>
  <si>
    <t xml:space="preserve">Handover O&amp;M issued, job completed</t>
  </si>
  <si>
    <t xml:space="preserve">job_finance.pc_date typed in Finance</t>
  </si>
  <si>
    <t xml:space="preserve">903-finance-certs-retention.js:182-195; 9219zh:finRetSetDate; 857-handover-om-manual.js</t>
  </si>
  <si>
    <t xml:space="preserve">Still nothing from Projects. The dates can now also be typed in Sales › Retention (L83), but that is still Finance typing them.</t>
  </si>
  <si>
    <t xml:space="preserve">L66</t>
  </si>
  <si>
    <t xml:space="preserve">Finance application and payment dates</t>
  </si>
  <si>
    <t xml:space="preserve">Site calendar / PM home</t>
  </si>
  <si>
    <t xml:space="preserve">Application day set</t>
  </si>
  <si>
    <t xml:space="preserve">job_finance.app_reminder_day, app_dates; fin_applications.final_date</t>
  </si>
  <si>
    <t xml:space="preserve">918:finAppDatesHtml; 780-site-calendar</t>
  </si>
  <si>
    <t xml:space="preserve">Each month's application date shows on the job calendar and the all-projects calendar ("💷 Application due", or "sent" once it has gone) for PMs, admins, estimators, QSs and Finance users. Tap one to open the project's Finance. Payment due dates are not shown.</t>
  </si>
  <si>
    <t xml:space="preserve">Built 25 Oct — application dates now show on the site and all-projects calendars for PMs, admins, estimators and QSs</t>
  </si>
  <si>
    <t xml:space="preserve">L67</t>
  </si>
  <si>
    <t xml:space="preserve">SoW photos</t>
  </si>
  <si>
    <t xml:space="preserve">Application evidence</t>
  </si>
  <si>
    <t xml:space="preserve">Value an application</t>
  </si>
  <si>
    <t xml:space="preserve">schedule_photos</t>
  </si>
  <si>
    <t xml:space="preserve">481/480; 9219p</t>
  </si>
  <si>
    <t xml:space="preserve">Application PDF, Excel and email can include the Schedule of Works report as proof of works: the whole schedule, or only the photos taken since the last application.</t>
  </si>
  <si>
    <t xml:space="preserve">Built 25 Oct — application exports and emails can include the Schedule of Works report as proof of works</t>
  </si>
  <si>
    <t xml:space="preserve">L68</t>
  </si>
  <si>
    <t xml:space="preserve">Expenses (inside Materials)</t>
  </si>
  <si>
    <t xml:space="preserve">Finance receipts / job costs</t>
  </si>
  <si>
    <t xml:space="preserve">Operative photographs a receipt and saves</t>
  </si>
  <si>
    <t xml:space="preserve">expenses rows (no amount) → send-expenses-email</t>
  </si>
  <si>
    <t xml:space="preserve">590-expenses-sub-tile-inside-materials.js:151-183</t>
  </si>
  <si>
    <t xml:space="preserve">L69</t>
  </si>
  <si>
    <t xml:space="preserve">Finance sales invoices, bills, operative payments</t>
  </si>
  <si>
    <t xml:space="preserve">Xero (project tracking)</t>
  </si>
  <si>
    <t xml:space="preserve">Approve, issue, post</t>
  </si>
  <si>
    <t xml:space="preserve">fin_invoices, purchase_invoices, fin_sub_payments + sites.job_number/name as tracking option</t>
  </si>
  <si>
    <t xml:space="preserve">one-way, automatic or manual</t>
  </si>
  <si>
    <t xml:space="preserve">907-finance-xero.js; supabase/functions/xero/index.ts:push_bill (350-400), push_sub_payment (402+); 904:finXeroPostedConfirm</t>
  </si>
  <si>
    <t xml:space="preserve">Xero v10 is live (25 Oct): a bill split across projects goes as one line per project, each tracked to its job (FA-28), and a subcontract bill has a minus line for the contra charge. Changing a record already in Xero is blocked unless you confirm (FA-11). Still one account (310), no cost-code coding, and operative payments carry no project tracking. Still blocked outside Sandbox during the trial.</t>
  </si>
  <si>
    <t xml:space="preserve">Fixed 25 Oct — per-project bill lines and the contra line are live</t>
  </si>
  <si>
    <t xml:space="preserve">L70</t>
  </si>
  <si>
    <t xml:space="preserve">Xero contacts and payroll</t>
  </si>
  <si>
    <t xml:space="preserve">Finance people, clients, suppliers</t>
  </si>
  <si>
    <t xml:space="preserve">"Bring in from Xero", "Pull from Xero"</t>
  </si>
  <si>
    <t xml:space="preserve">Xero contacts/employees → fin_labour_rates (matched to profiles), fin_clients, fin_suppliers (auto-linked to suppliers by name)</t>
  </si>
  <si>
    <t xml:space="preserve">9216:finXwMatch; 9219i:51-66; 9219j:154-168</t>
  </si>
  <si>
    <t xml:space="preserve">The same contact twice in one pull now updates instead of duplicating (FB-28).</t>
  </si>
  <si>
    <t xml:space="preserve">L71</t>
  </si>
  <si>
    <t xml:space="preserve">Projects data (check-ins, sites, plots)</t>
  </si>
  <si>
    <t xml:space="preserve">Finance reports, monthly report, detailed summary</t>
  </si>
  <si>
    <t xml:space="preserve">Open a report</t>
  </si>
  <si>
    <t xml:space="preserve">finLoadBook (checkins, sub-jobs, etc.)</t>
  </si>
  <si>
    <t xml:space="preserve">913-finance-reports.js:finRepBookLoad; 920-finance-monthly.js; 9219v-finance-detail-summary.js</t>
  </si>
  <si>
    <t xml:space="preserve">"Labour by person" now takes days from the operative invoice line and leaves unknown days blank (FA-25); cash flow counts VAT on cash in (FA-04); stat periods cover the whole month/quarter/year. The org-wide book still pulls up to 50,000 check-ins with no date filter (911:24).</t>
  </si>
  <si>
    <t xml:space="preserve">L72</t>
  </si>
  <si>
    <t xml:space="preserve">Projects site reports / daily briefings</t>
  </si>
  <si>
    <t xml:space="preserve">Site report submitted</t>
  </si>
  <si>
    <t xml:space="preserve">report_submissions (headcount, weather, delays)</t>
  </si>
  <si>
    <t xml:space="preserve">430, 700</t>
  </si>
  <si>
    <t xml:space="preserve">L73</t>
  </si>
  <si>
    <t xml:space="preserve">Finance inbox</t>
  </si>
  <si>
    <t xml:space="preserve">PM "To book" screen</t>
  </si>
  <si>
    <t xml:space="preserve">Finance sends an unallocated invoice to a PM; PM books or replies</t>
  </si>
  <si>
    <t xml:space="preserve">fin_inbox.stage=with_pm, assigned_pm → fin_inbox_pm_book / fin_inbox_pm_reply → purchase_invoices</t>
  </si>
  <si>
    <t xml:space="preserve">9219b:finInboxSendPm (291), pmToBookCounts (324), renderPmToBook (335); 890:82; 185:124; stub 9219e:36</t>
  </si>
  <si>
    <t xml:space="preserve">Unchanged: sending is blocked outside Sandbox (9219e:27-28) and the PM home badge is always 0 because of the pmToBookCounts stub.</t>
  </si>
  <si>
    <t xml:space="preserve">L74</t>
  </si>
  <si>
    <t xml:space="preserve">Purchase invoice query</t>
  </si>
  <si>
    <t xml:space="preserve">Responsible PM</t>
  </si>
  <si>
    <t xml:space="preserve">Finance marks an invoice Query</t>
  </si>
  <si>
    <t xml:space="preserve">purchase_invoices.status=query, query_note</t>
  </si>
  <si>
    <t xml:space="preserve">904:queryPurchaseInvoice, savePurchaseInvoiceQuery</t>
  </si>
  <si>
    <t xml:space="preserve">Marking a supplier invoice Query messages the job's responsible PM. The PM answers in a pop-up (no Finance access needed); the conversation shows on the invoice in Finance, and Finance can reply.</t>
  </si>
  <si>
    <t xml:space="preserve">Built 25 Oct — invoice queries go to the PM</t>
  </si>
  <si>
    <t xml:space="preserve">L75</t>
  </si>
  <si>
    <t xml:space="preserve">Drawings</t>
  </si>
  <si>
    <t xml:space="preserve">Finance (BoQ, variations)</t>
  </si>
  <si>
    <t xml:space="preserve">drawing_files</t>
  </si>
  <si>
    <t xml:space="preserve">810</t>
  </si>
  <si>
    <t xml:space="preserve">L76</t>
  </si>
  <si>
    <t xml:space="preserve">Rate card / price sheets</t>
  </si>
  <si>
    <t xml:space="preserve">Bill of Quantities cost prices</t>
  </si>
  <si>
    <t xml:space="preserve">Price a BoQ line</t>
  </si>
  <si>
    <t xml:space="preserve">price_rate_items/options, price_builder_sheet_items vs fin_contract_items.cost</t>
  </si>
  <si>
    <t xml:space="preserve">760:12-228; 400; 902 / 9219zk (BoQ editors)</t>
  </si>
  <si>
    <t xml:space="preserve">The new phone BoQ editor still takes cost rate/total typed by hand.</t>
  </si>
  <si>
    <t xml:space="preserve">L77</t>
  </si>
  <si>
    <t xml:space="preserve">SoW library templates</t>
  </si>
  <si>
    <t xml:space="preserve">Start a BoQ</t>
  </si>
  <si>
    <t xml:space="preserve">sow_library_templates/sections/tasks</t>
  </si>
  <si>
    <t xml:space="preserve">290; 480:60-71</t>
  </si>
  <si>
    <t xml:space="preserve">L78</t>
  </si>
  <si>
    <t xml:space="preserve">Finance price book / project quotes</t>
  </si>
  <si>
    <t xml:space="preserve">Materials-tile PO pricing</t>
  </si>
  <si>
    <t xml:space="preserve">Order sent</t>
  </si>
  <si>
    <t xml:space="preserve">fin_price_book, fin_shop_prices → PO rate (estimate)</t>
  </si>
  <si>
    <t xml:space="preserve">915 header; fin_raise_po</t>
  </si>
  <si>
    <t xml:space="preserve">L79</t>
  </si>
  <si>
    <t xml:space="preserve">Projects app search</t>
  </si>
  <si>
    <t xml:space="preserve">Search box</t>
  </si>
  <si>
    <t xml:space="preserve">materials, snags, todos (270); projects, people, reports, documents (136 quick search)</t>
  </si>
  <si>
    <t xml:space="preserve">270-app-search-home-screen.js; 136-quick-search.js</t>
  </si>
  <si>
    <t xml:space="preserve">Still no PO, invoice or application numbers. Finance's own Sales list search now matches application / certificate numbers, and Finance › Projects has a phone search (L87), but neither is the app search.</t>
  </si>
  <si>
    <t xml:space="preserve">L80</t>
  </si>
  <si>
    <t xml:space="preserve">Material request message</t>
  </si>
  <si>
    <t xml:space="preserve">Request added or sent</t>
  </si>
  <si>
    <t xml:space="preserve">postSystemMessage to the site thread</t>
  </si>
  <si>
    <t xml:space="preserve">760:287</t>
  </si>
  <si>
    <t xml:space="preserve">The note typed when sending an order (branch and message) now goes on the PO, so Finance sees it. Other request messages still go only to the job's message thread.</t>
  </si>
  <si>
    <t xml:space="preserve">Built 25 Oct — the order note goes on the PO</t>
  </si>
  <si>
    <t xml:space="preserve">L81</t>
  </si>
  <si>
    <t xml:space="preserve">Finance › New project form (and Project Admin › Client PO)</t>
  </si>
  <si>
    <t xml:space="preserve">Project's client PO → invoices, applications, certificates, Finance Projects list "Client PO" column, Getting Started</t>
  </si>
  <si>
    <t xml:space="preserve">Create a project with a client PO number and files; add or edit a PO later</t>
  </si>
  <si>
    <t xml:space="preserve">client_pos {po_number, is_primary:true, files:[{path,name}], file_path/file_name = first file}; files to finance-docs/&lt;org&gt;/&lt;site&gt;/client-po/</t>
  </si>
  <si>
    <t xml:space="preserve">908:saveFinNewJob (109-112, 132-142); 900:saveClientPo (370-395), finPoFilesOf, openClientPoFile (405-425)</t>
  </si>
  <si>
    <t xml:space="preserve">Works, and a PO now holds any number of files (picker when more than one). Gaps: the form is only reachable in Finance-only and Sandbox orgs (trial wrapper, L07), so normal companies add the PO afterwards in Project Admin; the client_pos insert result is not checked, so "Project created" still shows if it fails (dbInsert's own toast is quickly replaced); the Projects-side new-site form (180) has no PO field.</t>
  </si>
  <si>
    <t xml:space="preserve">Gap fixed 25 Oct — the PO now always saves or says it didn't (now live)</t>
  </si>
  <si>
    <t xml:space="preserve">L82</t>
  </si>
  <si>
    <t xml:space="preserve">Typed contract value (new project / Project Admin) ↔ Bill of Quantities total</t>
  </si>
  <si>
    <t xml:space="preserve">job_finance.contract_value</t>
  </si>
  <si>
    <t xml:space="preserve">Save the BoQ (button or autosave), add a BoQ line from an application, open the BoQ page</t>
  </si>
  <si>
    <t xml:space="preserve">job_finance.contract_value_source ('manual' / 'boq' / null), contract_value, contract_value_manual vs sum of fin_contract_items values</t>
  </si>
  <si>
    <t xml:space="preserve">two-way check, manual choice</t>
  </si>
  <si>
    <t xml:space="preserve">9219zi:finCvPatch (12-15), finCvCheck, finCvUse, finCvPrompt, saveFinContract and renderFinContract wraps; used at 902:243, 9219n:522, 9219n:739</t>
  </si>
  <si>
    <t xml:space="preserve">A typed value is no longer overwritten by BoQ saves, and a pop-up (after Save) or a bar (on the BoQ page) offers "Use BoQ" or "Keep typed". Gaps: finCvPatch treats a failed read as "not manual" and overwrites the typed value; "Keep typed" is remembered in localStorage only, so other devices keep showing the bar; Project Admin edits of the contract value never set contract_value_source, so on a project created without a value the next BoQ save silently replaces it; 9219n:740 still sets finAppCtx.jf.contract_value to the BoQ total in memory, so the retention cap on that application screen uses the wrong figure until reload; contract_value_manual is written but never read.</t>
  </si>
  <si>
    <t xml:space="preserve">Gap fixed 25 Oct — a typed value is never overwritten on a bad signal (now live)</t>
  </si>
  <si>
    <t xml:space="preserve">L83</t>
  </si>
  <si>
    <t xml:space="preserve">Finance › Sales › Retention list</t>
  </si>
  <si>
    <t xml:space="preserve">Project retention dates (job_finance) → project Retention card, Finance home reminders, retention report</t>
  </si>
  <si>
    <t xml:space="preserve">Type a "1st Retention Release" or "Final Retention Release" date in the list</t>
  </si>
  <si>
    <t xml:space="preserve">pc_date; final_release_date (+ defects_months recomputed from the gap)</t>
  </si>
  <si>
    <t xml:space="preserve">9219:146 (date boxes); 9219zh:finRetSetDate (16-24), finRetentionDates override (8-15)</t>
  </si>
  <si>
    <t xml:space="preserve">Saves to the project. Since the 24 Oct night fix (now live), Project Admin and the typed final release date agree, and Finance home reminders use the final date. Invoice jobs have no retention dates (26 Oct). Only projects with retention still held are listed.</t>
  </si>
  <si>
    <t xml:space="preserve">Gap fixed 25 Oct — Project Admin and Finance home now agree on the final date</t>
  </si>
  <si>
    <t xml:space="preserve">L84</t>
  </si>
  <si>
    <t xml:space="preserve">Project set-up state (job_finance, client_pos, BoQ lines, invoices, applications)</t>
  </si>
  <si>
    <t xml:space="preserve">Getting Started card on the project Overview</t>
  </si>
  <si>
    <t xml:space="preserve">Open the project; tap "✓ Done"; save Project Admin</t>
  </si>
  <si>
    <t xml:space="preserve">job_finance.setup_checked_at; counts of BoQ items, client POs, invoices, applications</t>
  </si>
  <si>
    <t xml:space="preserve">one-way read (plus manual tick)</t>
  </si>
  <si>
    <t xml:space="preserve">9219zi:finStartCardHtml (87-104), finSetupDone (82-86), saveSiteFinance wrap (106-112); 9219n:217</t>
  </si>
  <si>
    <t xml:space="preserve">Finished steps drop off and the card goes once any invoice or application exists. Since 25 Oct the "Check retention, VAT and application dates" step is only ticked when the Project Admin save worked (NS-L1).</t>
  </si>
  <si>
    <t xml:space="preserve">Gap fixed 25 Oct — only ticked when the save worked</t>
  </si>
  <si>
    <t xml:space="preserve">L85</t>
  </si>
  <si>
    <t xml:space="preserve">Finance variations and day works registers (incl. site variations once imported, L21)</t>
  </si>
  <si>
    <t xml:space="preserve">Project Overview "Variations &amp; Day Works" row</t>
  </si>
  <si>
    <t xml:space="preserve">Open the project Overview; ⋯ picks Approved / Unapproved / All; tap opens BoQ › Variations or Day Works</t>
  </si>
  <si>
    <t xml:space="preserve">fin_variations (status, quoted, agreed_value), fin_dayworks (status, value)</t>
  </si>
  <si>
    <t xml:space="preserve">9219q:finVdRowHtml, finVdTotals, finVdLoad (265-303); 9219zj:finOvBlockHtml</t>
  </si>
  <si>
    <t xml:space="preserve">Totals load once per project and are cached in FIN_VD_DATA for the whole session, so a new or approved variation doesn't show until the app is reloaded. It reads fin_variations only, so site variations count only after someone has opened BoQ › Variations, and then at £0 (L22) and as Approved (L21). Unpriced variations show £0 here but at their cost_estimate in the register.</t>
  </si>
  <si>
    <t xml:space="preserve">Gap fixed 25 Oct — now the Variations tile on the Overview, refreshed each time (now live)</t>
  </si>
  <si>
    <t xml:space="preserve">L86</t>
  </si>
  <si>
    <t xml:space="preserve">Projects-derived job book (check-in labour, plots, POs, purchase invoices) + job_finance</t>
  </si>
  <si>
    <t xml:space="preserve">Project Overview block (headline Final Account / Contract Value, margin pill, progress bar, 8 boxes)</t>
  </si>
  <si>
    <t xml:space="preserve">Open a project's Finance Overview</t>
  </si>
  <si>
    <t xml:space="preserve">finLoadBook → finJobForecast (window.__finFcLast) → finOvBlockHtml; box choices in localStorage</t>
  </si>
  <si>
    <t xml:space="preserve">9219zj (whole file); 9219q:finTopVal; 900:290</t>
  </si>
  <si>
    <t xml:space="preserve">Replaces the coloured tiles and the Project Summary card; finForecastCardHtml still runs for its side effects and now returns ''. Retention box uses "still held".</t>
  </si>
  <si>
    <t xml:space="preserve">L87</t>
  </si>
  <si>
    <t xml:space="preserve">Projects site fields (job no., name, client, PM, postcode) + client POs</t>
  </si>
  <si>
    <t xml:space="preserve">Finance › Projects list search on a phone</t>
  </si>
  <si>
    <t xml:space="preserve">Type in "Search projects"</t>
  </si>
  <si>
    <t xml:space="preserve">data-lf text of each row (sites + client_pos)</t>
  </si>
  <si>
    <t xml:space="preserve">9219zg:finJobPhoneTidy, finJobSearchApply; 9219f:finJobGridHtml (58)</t>
  </si>
  <si>
    <t xml:space="preserve">Phone only; replaces the Client box. Computers keep the column filters.</t>
  </si>
  <si>
    <t xml:space="preserve">L88</t>
  </si>
  <si>
    <t xml:space="preserve">Finance › Delete project</t>
  </si>
  <si>
    <t xml:space="preserve">Projects site (close or delete)</t>
  </si>
  <si>
    <t xml:space="preserve">Delete from Finance project admin</t>
  </si>
  <si>
    <t xml:space="preserve">checks 20 finance tables incl. operative-invoice lines; if any rows → sites.status=closed, closed_at, closed_by; else → Projects deleteSite</t>
  </si>
  <si>
    <t xml:space="preserve">9219u:finDeleteJob (763-789); 180:deleteSite (490)</t>
  </si>
  <si>
    <t xml:space="preserve">Fail-closed: any failed lookup stops the delete. fin_statements has no project link, so it can't be checked. When nothing financial is booked, a PM's delete still depends on site_is_empty (L12).</t>
  </si>
  <si>
    <t xml:space="preserve">Proposals: more interlinking between Projects and Finance</t>
  </si>
  <si>
    <t xml:space="preserve">Copied from v2 unchanged (Done? is as of 24 Oct). Since then P05, P20 (application dates), P27 and P29 have been built, and P03 partly: see Finance-Projects Map v3.</t>
  </si>
  <si>
    <t xml:space="preserve">#</t>
  </si>
  <si>
    <t xml:space="preserve">Proposal</t>
  </si>
  <si>
    <t xml:space="preserve">What it does</t>
  </si>
  <si>
    <t xml:space="preserve">Tables / screens</t>
  </si>
  <si>
    <t xml:space="preserve">Benefit</t>
  </si>
  <si>
    <t xml:space="preserve">Effort (S/M/L)</t>
  </si>
  <si>
    <t xml:space="preserve">Done?</t>
  </si>
  <si>
    <t xml:space="preserve">Suggested phase</t>
  </si>
  <si>
    <t xml:space="preserve">Note</t>
  </si>
  <si>
    <t xml:space="preserve">P01</t>
  </si>
  <si>
    <t xml:space="preserve">Make the trial stubs conditional</t>
  </si>
  <si>
    <t xml:space="preserve">Change the four plain async function stubs in 9219e to if(FIN_TRIAL &amp;&amp; !finIsSandbox()) window.x = … style overrides, so operative-invoice → PM wages, the To-book badge and subcontract → price sheet work in Sandbox and turn on at go-live just by setting FIN_TRIAL=false. Hide the "Add to Price file" tick while it's off.</t>
  </si>
  <si>
    <t xml:space="preserve">9219e; 9219c finOpPushToPm; 9217; 912 finScSyncSheet; 9219b pmToBookCounts</t>
  </si>
  <si>
    <t xml:space="preserve">Fixes 3 Broken links (L51, L59, L73) and makes Sandbox testing true to live</t>
  </si>
  <si>
    <t xml:space="preserve">S</t>
  </si>
  <si>
    <t xml:space="preserve">No</t>
  </si>
  <si>
    <t xml:space="preserve">1 — next</t>
  </si>
  <si>
    <t xml:space="preserve">the four stubs are still plain declarations at 9219e:36-39. The FA-17 wage-push fixes and the 9219g operative-invoice guard call finOpPushToPm, which is still the empty stub.</t>
  </si>
  <si>
    <t xml:space="preserve">P02</t>
  </si>
  <si>
    <t xml:space="preserve">POs for every PM's order</t>
  </si>
  <si>
    <t xml:space="preserve">Drop the client isFinanceUser() gate in finRaisePoForOrder and let fin_raise_po check po_enabled. Correct the settings wording.</t>
  </si>
  <si>
    <t xml:space="preserve">904; 900 settings; fin_raise_po</t>
  </si>
  <si>
    <t xml:space="preserve">Every material order gets a PO and committed cost, not just Finance users' (L28)</t>
  </si>
  <si>
    <t xml:space="preserve">P03</t>
  </si>
  <si>
    <t xml:space="preserve">Keep POs in step with requests</t>
  </si>
  <si>
    <t xml:space="preserve">Cancelling, deleting or re-sending a material request cancels or reduces the PO line (or asks first), and stops duplicate POs on re-send.</t>
  </si>
  <si>
    <t xml:space="preserve">materials, purchase_orders; 760 cancelMaterial, deleteSelectedMaterials, sendMaterialAgain</t>
  </si>
  <si>
    <t xml:space="preserve">Committed cost stays right; no duplicate POs (L29, L30)</t>
  </si>
  <si>
    <t xml:space="preserve">P04</t>
  </si>
  <si>
    <t xml:space="preserve">GRN for every PO</t>
  </si>
  <si>
    <t xml:space="preserve">A "Receive" action per PO line (a po_receipts table, or materials rows made for Finance POs) shown on the project Materials tile as "Ordered by the office". Port the GRN checks into finInboxFileCore.</t>
  </si>
  <si>
    <t xml:space="preserve">purchase_orders, materials.grn / po_receipts; 9219b finInboxFileCore; 720/726</t>
  </si>
  <si>
    <t xml:space="preserve">Three-way match (PO, GRN, invoice) works for all invoices, including inbox ones (L33, L35)</t>
  </si>
  <si>
    <t xml:space="preserve">M</t>
  </si>
  <si>
    <t xml:space="preserve">P05</t>
  </si>
  <si>
    <t xml:space="preserve">Driver collection = GRN</t>
  </si>
  <si>
    <t xml:space="preserve">Store po_id/material_ids on delivery_tasks made by bookOrderCollection. When the driver completes it, write the GRN with the driver's photos.</t>
  </si>
  <si>
    <t xml:space="preserve">delivery_tasks, materials.grn; 760, 840</t>
  </si>
  <si>
    <t xml:space="preserve">No separate GRN step for collections (L41)</t>
  </si>
  <si>
    <t xml:space="preserve">P06</t>
  </si>
  <si>
    <t xml:space="preserve">Give site variations a value and sync both ways</t>
  </si>
  <si>
    <t xml:space="preserve">Add "Our price / client price" to Projects › Variations (fills cost_impact). Import site approvals as 'issued', not 'agreed'. Push Finance agreed/rejected back to variations.approval_status. Import when the variation is created (trigger), not when the tab is opened.</t>
  </si>
  <si>
    <t xml:space="preserve">variations, fin_variations; 800, 9219s finCtVariationsFill, 902 newFinApplication</t>
  </si>
  <si>
    <t xml:space="preserve">Variations reach applications at the right value and only once the client has agreed (L21, L22, L25)</t>
  </si>
  <si>
    <t xml:space="preserve">P07</t>
  </si>
  <si>
    <t xml:space="preserve">Extra-work claims → client variation</t>
  </si>
  <si>
    <t xml:space="preserve">When a PM approves an additional_works_request, offer "Also raise a client variation", creating fin_variations with cost_estimate = amount and photo attached.</t>
  </si>
  <si>
    <t xml:space="preserve">additional_works_requests, fin_variations; 390</t>
  </si>
  <si>
    <t xml:space="preserve">Recovers extra work that is paid to operatives but never billed (L26)</t>
  </si>
  <si>
    <t xml:space="preserve">P08</t>
  </si>
  <si>
    <t xml:space="preserve">Site day-work sheets</t>
  </si>
  <si>
    <t xml:space="preserve">A day-work form on site (labour from that day's check-ins, plant, materials, client signature) that creates an 'issued' fin_dayworks row with the signed PDF.</t>
  </si>
  <si>
    <t xml:space="preserve">new site screen; fin_dayworks; checkins</t>
  </si>
  <si>
    <t xml:space="preserve">Day works are captured on the day with evidence, not reconstructed later (L27)</t>
  </si>
  <si>
    <t xml:space="preserve">P09</t>
  </si>
  <si>
    <t xml:space="preserve">Fair PAYE day costing</t>
  </si>
  <si>
    <t xml:space="preserve">Split a person's day across the jobs they signed into, by check-in/check-out time (or evenly), and allow hourly rates. Add repair_job_id to check-ins on repair contracts.</t>
  </si>
  <si>
    <t xml:space="preserve">checkins, fin_labour_rates; 9219c finJobLabour, 911 cost lines, 440/450</t>
  </si>
  <si>
    <t xml:space="preserve">Stops double day-rates; labour by repair job (L48)</t>
  </si>
  <si>
    <t xml:space="preserve">S/M</t>
  </si>
  <si>
    <t xml:space="preserve">P10</t>
  </si>
  <si>
    <t xml:space="preserve">Sign-in vs invoice check</t>
  </si>
  <si>
    <t xml:space="preserve">On an operative invoice, show the days signed in per job for that week next to each line and flag invoiced jobs with no sign-ins.</t>
  </si>
  <si>
    <t xml:space="preserve">checkins, fin_sub_payments; 9219c finOpPaint</t>
  </si>
  <si>
    <t xml:space="preserve">Catches over-claiming and wrong-job allocations (L49)</t>
  </si>
  <si>
    <t xml:space="preserve">P11</t>
  </si>
  <si>
    <t xml:space="preserve">One place for labour invoices</t>
  </si>
  <si>
    <t xml:space="preserve">Uploading a labour invoice in the Price tile creates a draft operative invoice for Finance (file shared). Finance's operative invoice shows in that pricing element's Labour Invoices list.</t>
  </si>
  <si>
    <t xml:space="preserve">labour_invoices, fin_sub_payments; 410, 9219c</t>
  </si>
  <si>
    <t xml:space="preserve">Ends double upload and double typing (L54)</t>
  </si>
  <si>
    <t xml:space="preserve">P12</t>
  </si>
  <si>
    <t xml:space="preserve">Price tile → Finance labour budget and accrual</t>
  </si>
  <si>
    <t xml:space="preserve">Use pricing_elements.price_total as the labour budget suggestion and price_week_operative_entries / booked-in as labour accrued, before the operative invoice arrives.</t>
  </si>
  <si>
    <t xml:space="preserve">pricing_elements, price_weeks, price_week_operative_entries, fin_job_budgets; 911 finJobForecast</t>
  </si>
  <si>
    <t xml:space="preserve">Labour forecast without retyping; early warning when price work runs over (L53)</t>
  </si>
  <si>
    <t xml:space="preserve">P13</t>
  </si>
  <si>
    <t xml:space="preserve">Internal plant hire charges</t>
  </si>
  <si>
    <t xml:space="preserve">Add a Finance-only internal rate per plant item (like yard_stock_rates). Transfers and check-outs to a site create or close fin_plant_hires (cost_from rate) automatically.</t>
  </si>
  <si>
    <t xml:space="preserve">plant_items, plant_transfers, plant_checkouts, fin_plant_hires; 740, 905</t>
  </si>
  <si>
    <t xml:space="preserve">Owned plant carries a cost to the job (L63)</t>
  </si>
  <si>
    <t xml:space="preserve">P14</t>
  </si>
  <si>
    <t xml:space="preserve">Plant on hire visible on site + off-hire request</t>
  </si>
  <si>
    <t xml:space="preserve">A Plant-on-hire list on the site Plant tile (from fin_plant_hires) with an "Off-hire" button that sets the date and notifies Finance (and optionally emails the hire company).</t>
  </si>
  <si>
    <t xml:space="preserve">fin_plant_hires; 740 Plant tile</t>
  </si>
  <si>
    <t xml:space="preserve">Shorter hire periods, accurate cost to date (L64)</t>
  </si>
  <si>
    <t xml:space="preserve">P15</t>
  </si>
  <si>
    <t xml:space="preserve">Expenses become receipts</t>
  </si>
  <si>
    <t xml:space="preserve">Add amount and VAT to each expense entry. On Save, also create purchase_invoices (kind receipt, to_approve) on the chosen job with the photo, or post into fin_inbox.</t>
  </si>
  <si>
    <t xml:space="preserve">expenses, purchase_invoices / fin_inbox; 590, 904</t>
  </si>
  <si>
    <t xml:space="preserve">Receipts land on the job cost without retyping (L68)</t>
  </si>
  <si>
    <t xml:space="preserve">P16</t>
  </si>
  <si>
    <t xml:space="preserve">One subcontractor record</t>
  </si>
  <si>
    <t xml:space="preserve">Add subcontractor_company_id to fin_labour_rates and fin_subcontracts and pick from the Projects company list. Bring insurance expiry across from the sign-up form and warn when raising an order or paying with expired PL/EL.</t>
  </si>
  <si>
    <t xml:space="preserve">subcontractor_companies, subcontractor_company_profiles, subcontractor_applications, fin_labour_rates, fin_subcontracts</t>
  </si>
  <si>
    <t xml:space="preserve">No four-way duplicates; insurance checked before payment (L56, L57)</t>
  </si>
  <si>
    <t xml:space="preserve">P17</t>
  </si>
  <si>
    <t xml:space="preserve">Snag → contra charge</t>
  </si>
  <si>
    <t xml:space="preserve">A "Chargeable to subcontractor" flag and cost on a snag, which then appears as a suggested contra on that subcontractor's next application (fin_sub_apps.contra).</t>
  </si>
  <si>
    <t xml:space="preserve">snags, fin_sub_apps; 500, 912</t>
  </si>
  <si>
    <t xml:space="preserve">Recovers remedial costs (L61)</t>
  </si>
  <si>
    <t xml:space="preserve">P18</t>
  </si>
  <si>
    <t xml:space="preserve">Rate card and SoW library feed the BoQ</t>
  </si>
  <si>
    <t xml:space="preserve">When building a BoQ, pick lines from the SoW library and suggest cost prices from the rate card or a price sheet (fin_contract_items.cost).</t>
  </si>
  <si>
    <t xml:space="preserve">sow_library_*, price_rate_items, fin_contract_items; 290, 760, 902</t>
  </si>
  <si>
    <t xml:space="preserve">Quicker BoQs with a real cost budget (L76, L77)</t>
  </si>
  <si>
    <t xml:space="preserve">M/L</t>
  </si>
  <si>
    <t xml:space="preserve">P19</t>
  </si>
  <si>
    <t xml:space="preserve">Practical completion date from Projects</t>
  </si>
  <si>
    <t xml:space="preserve">Issuing the handover O&amp;M (or closing the site) suggests job_finance.pc_date, so retention release dates and reminders start.</t>
  </si>
  <si>
    <t xml:space="preserve">handover_om_manuals, sites, job_finance; 857, 903</t>
  </si>
  <si>
    <t xml:space="preserve">Retention isn't forgotten (L65)</t>
  </si>
  <si>
    <t xml:space="preserve">the PC date and the final release date can now be typed in Sales › Retention (L83), but nothing comes from Projects handover or site close.</t>
  </si>
  <si>
    <t xml:space="preserve">P20</t>
  </si>
  <si>
    <t xml:space="preserve">Money dates on calendars</t>
  </si>
  <si>
    <t xml:space="preserve">Put the application date, final date for payment and PO required-by dates on the site calendar and PM home (managers only).</t>
  </si>
  <si>
    <t xml:space="preserve">site_calendar_events, job_finance, fin_applications, purchase_orders; 780, 790</t>
  </si>
  <si>
    <t xml:space="preserve">PMs see when valuations and deliveries fall due (L66)</t>
  </si>
  <si>
    <t xml:space="preserve">P21</t>
  </si>
  <si>
    <t xml:space="preserve">Finance ↔ PM notifications</t>
  </si>
  <si>
    <t xml:space="preserve">Message the responsible PM when a purchase invoice is queried, a GRN problem affects an invoice, plant has been on hire over 4 weeks or a PO has no value. Message Finance when a GRN has a problem.</t>
  </si>
  <si>
    <t xml:space="preserve">messages (postSystemMessageToUser); 904, 726, 905</t>
  </si>
  <si>
    <t xml:space="preserve">Problems are sorted out on site straight away (L34, L74, L80)</t>
  </si>
  <si>
    <t xml:space="preserve">P22</t>
  </si>
  <si>
    <t xml:space="preserve">Inbox matching knows plots and repair jobs</t>
  </si>
  <si>
    <t xml:space="preserve">Match inbox invoices against site_sub_addresses and repair_jobs addresses and postcodes, set sub_job_id, and include the PO's sub-job.</t>
  </si>
  <si>
    <t xml:space="preserve">9219b finInboxMatchJob; finance-inbox matchJob</t>
  </si>
  <si>
    <t xml:space="preserve">Fewer Unallocated invoices; costs by plot are right (L10)</t>
  </si>
  <si>
    <t xml:space="preserve">P23</t>
  </si>
  <si>
    <t xml:space="preserve">Xero bills by cost code and project split</t>
  </si>
  <si>
    <t xml:space="preserve">Post bill lines per cost code (fin_cost_codes.code as AccountCode) and per project share, each with its own tracking option. Track operative payments per job line.</t>
  </si>
  <si>
    <t xml:space="preserve">xero function push_bill, push_sub_payment; 9219g splits</t>
  </si>
  <si>
    <t xml:space="preserve">Xero P&amp;L by project matches OpHUB (L69)</t>
  </si>
  <si>
    <t xml:space="preserve">Partly</t>
  </si>
  <si>
    <t xml:space="preserve">the repo copy of the xero function (push_bill, index.ts:363-388) now sends a bill split across projects as one line per project, each with its own tracking option (FA-28). It is not deployed yet according to fix-B. Bills still post to one account (xero_purchase_account or 310), not per cost code, and push_sub_payment still sends no project tracking.</t>
  </si>
  <si>
    <t xml:space="preserve">P24</t>
  </si>
  <si>
    <t xml:space="preserve">Real client link</t>
  </si>
  <si>
    <t xml:space="preserve">Add sites.client_id → fin_clients. The Projects new-site form picks from the client list (names only for PMs). Stop name matching.</t>
  </si>
  <si>
    <t xml:space="preserve">sites, fin_clients, job_finance; 180, 9219n, 9219i</t>
  </si>
  <si>
    <t xml:space="preserve">No duplicate clients; billing details always right (L08)</t>
  </si>
  <si>
    <t xml:space="preserve">FB-28 only stops duplicates within one Xero pull; matching is still by name.</t>
  </si>
  <si>
    <t xml:space="preserve">P25</t>
  </si>
  <si>
    <t xml:space="preserve">Repair job invoiced from Finance</t>
  </si>
  <si>
    <t xml:space="preserve">Raising a fin_invoice with sub_job_id = a repair job ticks repair_jobs.invoiced. "Closed — Subject to Invoice" jobs show in Finance as "To invoice" with their variation_cost.</t>
  </si>
  <si>
    <t xml:space="preserve">repair_jobs, fin_invoices; 340, 901, 917</t>
  </si>
  <si>
    <t xml:space="preserve">Nothing signed off is left un-invoiced (L15)</t>
  </si>
  <si>
    <t xml:space="preserve">P26</t>
  </si>
  <si>
    <t xml:space="preserve">Yard stock in from purchases, leftovers back</t>
  </si>
  <si>
    <t xml:space="preserve">Allow a PO or GRN "to the yard" that books stock in at the invoice price (weighted average rate). A leftover-material flag on site offers a yard return (credit to the job).</t>
  </si>
  <si>
    <t xml:space="preserve">yard_moves, yard_stock_rates, purchase_orders, schedule_section_flags; 9219m, 480</t>
  </si>
  <si>
    <t xml:space="preserve">Yard value and job credits are right (L43, L47)</t>
  </si>
  <si>
    <t xml:space="preserve">P27</t>
  </si>
  <si>
    <t xml:space="preserve">Finance POs on the project</t>
  </si>
  <si>
    <t xml:space="preserve">Show Finance-raised POs on the project's Materials tile, put the required-by date on the site calendar, and offer the same delivery/collection booking as Materials orders. Put PO PDFs in the Material PO's folder.</t>
  </si>
  <si>
    <t xml:space="preserve">purchase_orders, material_order_files, delivery_tasks, site_calendar_events; 720, 770, 870, 909</t>
  </si>
  <si>
    <t xml:space="preserve">The site knows what is coming (L35, L42)</t>
  </si>
  <si>
    <t xml:space="preserve">P28</t>
  </si>
  <si>
    <t xml:space="preserve">Tidy BoQ → SoW sync</t>
  </si>
  <si>
    <t xml:space="preserve">Flag or remove tasks whose BoQ line was deleted, carry qty/unit to the task, and show which BoQ line a task belongs to (managers only).</t>
  </si>
  <si>
    <t xml:space="preserve">schedule_tasks.contract_item_id; 918 finSendToSow</t>
  </si>
  <si>
    <t xml:space="preserve">Site progress maps cleanly to applications (L17)</t>
  </si>
  <si>
    <t xml:space="preserve">P29</t>
  </si>
  <si>
    <t xml:space="preserve">Progress photos in applications</t>
  </si>
  <si>
    <t xml:space="preserve">Attach the latest SoW photos per BoQ line to the application export or email pack.</t>
  </si>
  <si>
    <t xml:space="preserve">schedule_photos, fin_applications; 9219p</t>
  </si>
  <si>
    <t xml:space="preserve">Faster certification by the client's QS (L67)</t>
  </si>
  <si>
    <t xml:space="preserve">P30</t>
  </si>
  <si>
    <t xml:space="preserve">Search Finance records</t>
  </si>
  <si>
    <t xml:space="preserve">App search for Finance users finds PO, invoice, application and subcontract numbers and opens them.</t>
  </si>
  <si>
    <t xml:space="preserve">270 app search; purchase_orders, fin_invoices, fin_applications</t>
  </si>
  <si>
    <t xml:space="preserve">Quick lookup from anywhere (L79)</t>
  </si>
  <si>
    <t xml:space="preserve">the new searches are inside Finance lists (Sales applications, Finance › Projects on a phone), not the app search.</t>
  </si>
  <si>
    <t xml:space="preserve">P31</t>
  </si>
  <si>
    <t xml:space="preserve">Site diary feeds commercial</t>
  </si>
  <si>
    <t xml:space="preserve">Daily briefing / site report headcount and delay entries show on the Finance project page (labour sanity check, delay log for extension-of-time claims).</t>
  </si>
  <si>
    <t xml:space="preserve">report_submissions, 9219v detailed summary</t>
  </si>
  <si>
    <t xml:space="preserve">Commercial evidence without retyping (L72)</t>
  </si>
  <si>
    <t xml:space="preserve">L</t>
  </si>
  <si>
    <t xml:space="preserve">P32</t>
  </si>
  <si>
    <t xml:space="preserve">Lighter home money strip</t>
  </si>
  <si>
    <t xml:space="preserve">Cache the project book (or use a small summary RPC) for the site-home strip instead of the full 17-query load on every visit.</t>
  </si>
  <si>
    <t xml:space="preserve">921, 911 finLoadBook</t>
  </si>
  <si>
    <t xml:space="preserve">Faster project home on phones (L03)</t>
  </si>
  <si>
    <t xml:space="preserve">Top 10 construction &amp; trade apps — deep dive</t>
  </si>
  <si>
    <t xml:space="preserve">Researched 23–24 Oct 2026. [V] = checked on a current page; [K] = from background knowledge, not re-checked; estimates are labelled.</t>
  </si>
  <si>
    <t xml:space="preserve">This research is from 23–24 Oct 2026 and was not redone for v3.</t>
  </si>
  <si>
    <t xml:space="preserve">Product</t>
  </si>
  <si>
    <t xml:space="preserve">Type</t>
  </si>
  <si>
    <t xml:space="preserve">Best for</t>
  </si>
  <si>
    <t xml:space="preserve">UK fit</t>
  </si>
  <si>
    <t xml:space="preserve">Price (UK where known)</t>
  </si>
  <si>
    <t xml:space="preserve">Finance depth (job ↔ money)</t>
  </si>
  <si>
    <t xml:space="preserve">Who / UK presence / pricing detail</t>
  </si>
  <si>
    <t xml:space="preserve">Modules &amp; features</t>
  </si>
  <si>
    <t xml:space="preserve">How their finance links to jobs</t>
  </si>
  <si>
    <t xml:space="preserve">Ideas for OpHUB</t>
  </si>
  <si>
    <t xml:space="preserve">Weaknesses / complaints</t>
  </si>
  <si>
    <t xml:space="preserve">Sources</t>
  </si>
  <si>
    <t xml:space="preserve">Simpro</t>
  </si>
  <si>
    <t xml:space="preserve">Field service + project ERP</t>
  </si>
  <si>
    <t xml:space="preserve">M&amp;E, fire/security, service + project contractors, 10–500 staff</t>
  </si>
  <si>
    <t xml:space="preserve">Strong (UK office; owns Leeds-based BigChange since Oct 2024)</t>
  </si>
  <si>
    <t xml:space="preserve">Quote only, per user [V]</t>
  </si>
  <si>
    <t xml:space="preserve">High: progress claims, retention, stock, catalogues, WIP</t>
  </si>
  <si>
    <t xml:space="preserve">• What: End-to-end job and project management for trade contractors, from quote to invoice. Simpro Group also owns BigChange (UK, bought 25 Oct 2024), AroFlo (AU) and ClockShark (US time tracking). The group reports 22,000+ businesses, 400,000+ users and 600+ staff [V, Business Wire 2024].
• Who: Electrical, plumbing, HVAC, fire and security, solar, and M&amp;E project and service contractors, typically 10–500 staff.
• UK: UK office and UK web pages (simprogroup.com/uk) [V]. With BigChange's Leeds base it is now one of the largest field-service vendors in the UK.
• Pricing: Quote only, per user per month. Capterra lists three bundles with no prices: *Premium*; *Premium &amp; Digital Forms* (drag-and-drop form builder); *Premium &amp; Data Feeds* (automatic extraction from PDF/CSV/Excel attachments with rule-based triggers). No free trial [V, Capterra, Oct 2026]. Toolradar (Sep 2026) also lists "request pricing". Typical quotes are usually reported at several hundred pounds a month for small teams, with onboarding fees [K – confirm].</t>
  </si>
  <si>
    <t xml:space="preserve">| Area | Detail |
|---|---|
| Quoting / estimating | Multi-section quotes by cost centre; pre-builds (kits of materials + labour); catalogue pricing synced from suppliers; quote → job conversion; options/variations on quotes [V/K] |
| Job / project management | Project overview comparing actual vs estimated material and labour, with original, revised and current budgets; milestones; linked invoices, POs and work orders [V, Simpro blog] |
| Scheduling / dispatch | Drag-and-drop scheduler; RAIN (8 Jul 2026): AI scheduler assigning technicians by location, skills, certifications and availability [V] |
| Timesheets / labour | Clock on/off by job and cost centre from mobile; labour at cost rate for costing and separate charge-out rates for billing [K] |
| Materials &amp; purchasing | Supplier catalogues synced automatically; request prices from several suppliers at once and compare side by side; POs restock and receipting updates stock; Price Discrepancies report comparing catalogue/PO cost with invoice cost [V] |
| Stock | Multiple storage locations including vans; warehouse → van transfers; pre-allocate stock to a job; RAIN adds phone stock-takes and van-to-van transfers [V] |
| Plant / assets | Asset register with test and maintenance history (e.g. fire extinguishers, PAT) [K] |
| Subcontractors | Contractor work orders against jobs; contractor invoices to job cost [K]; UK CIS handled via accounts package [K – confirm] |
| Variations | Variations on projects updating revised budget [K] |
| Applications / retention | Deposits, Requests for Claim (client approves a claim before it becomes an invoice and before anything posts to accounts), progress claims, retention set to match the head contract (flat or sliding) with alerts when retention is due [V, Simpro blog 2019 – may be dated] |
| Invoicing | Approval stages (Pending → Approved), per-user approval value limits, blocking unapproved invoices from being emailed [V] |
| Accounting | Xero, MYOB, QuickBooks; Sage via connectors in UK [V/K] |
| Job costing / WIP | Job cost vs estimate; Job WIP report [K]; BI reporting |
| H&amp;S / forms | Digital forms builder (paid bundle); RAIN adds photo-based smart safety forms (in AroFlo) [V] |
| Customer portal | Customer portal to view quotes, jobs and invoices [K] |
| Mobile | Simpro Mobile: job details, photos, signatures, materials used on site [V] |
| AI | "Cooper" AI layer across Simpro, AroFlo and BigChange; RAIN (Jul 2026) brought the AI scheduler, live re-optimisation, native CRM/sales pipeline, AI-checked photo capture (BigChange), smart safety forms (AroFlo) and field inventory control [V] |</t>
  </si>
  <si>
    <t xml:space="preserve">• Quote → job → invoice. The cost centres in the quote become the job's budget lines. Labour, materials and contractor costs post to those cost centres. Progress claims are raised per cost centre or for the whole job.
• Stock → job. Stock allocated or used from a van posts to the job at cost.
• PO → supplier invoice. Receipting a PO updates stock and cost. The Price Discrepancies report flags invoice prices that differ from the PO or catalogue.
• Budget revisions. Original, revised and current budgets are kept separately, so margin fade is visible.
• Claims and retention. Each progress claim deducts retention and keeps a running retention balance. An alert tells you when to raise the retention claim.</t>
  </si>
  <si>
    <t xml:space="preserve">1. Three budget columns (Original / Revised / Current) on Finance › Budget, with a log of every budget change and who approved it.
2. Approval value limits per user on POs and purchase invoices (e.g. PMs up to £2,500, above that goes to Andy).
3. Client "request for claim" draft. Send the client QS a draft application to agree before the formal application or invoice is raised and pushed to Xero.
4. Skills-aware scheduling. Only show operatives holding valid cards (CSCS, IPAF, PASMA, working at height, asbestos awareness) when allocating to a site whose RAMS needs them.
5. Field stock-take from a phone for yard stock and vans (count → adjustment move).</t>
  </si>
  <si>
    <t xml:space="preserve">Capterra UK 3.9/5 (151 reviews) [V]. Common themes: steep learning curve and many clicks; mobile app lag and sync problems after updates; slow support; occasional bugs and outages; it can need a full-time person to keep data up to date; POs and work orders must be handled carefully or job financials go wrong; contracts hard to change, and price rises [V].
---</t>
  </si>
  <si>
    <t xml:space="preserve">• Capterra UK reviews (rating, pros/cons): https://www.capterra.co.uk/reviews/10529/simpro-enterprise
• Capterra pricing (plans, no prices): https://capterra.com/p/10529/Simpro-Enterprise/pricing/
• Toolradar pricing (Sep 2026): https://toolradar.com/tools/simpro/pricing
• Project invoicing, Requests for Claim, retention (blog, 2019): https://www.simprogroup.com/blog/a-snapshot-of-project-invoicing-and-payments-in-simpro
• UK inventory features: https://www.simprogroup.com/uk/features/inventory-management-software
• RAIN AI release (8 Jul 2026): https://cfotech.news/story/simpro-launches-rain-with-ai-tools-for-field-service
• RAIN press release (could not be fetched): https://www.simprogroup.com/company/press/simpro-group-announces-rain
• BigChange acquisition (Oct 2024): https://www.businesswire.com/news/home/20241025262794/en/Simpro-Group-Acquires-BigChange</t>
  </si>
  <si>
    <t xml:space="preserve">Tradify</t>
  </si>
  <si>
    <t xml:space="preserve">Small-trade job management</t>
  </si>
  <si>
    <t xml:space="preserve">1–20 person trades</t>
  </si>
  <si>
    <t xml:space="preserve">Good (UK pricing, Xero/Sage/QBO)</t>
  </si>
  <si>
    <t xml:space="preserve">£34 / £37 / £44 per user/month (Lite/Pro/Plus) [V, Oct 2026]</t>
  </si>
  <si>
    <t xml:space="preserve">Low–medium: job costing, POs, bills to PO</t>
  </si>
  <si>
    <t xml:space="preserve">• What: Simple job management for small trade businesses (quotes, jobs, scheduling, timesheets, invoices). NZ-founded; markets in the UK, AU, NZ, US and ZA.
• Who: 1–20 person trades (electricians, plumbers, builders, roofers).
• UK: UK pricing, with Xero, Sage and QuickBooks Online sync [V].
• Pricing (per user per month, checked 22 Oct 2026) [V]: Lite £34 (jobs, scheduling, quotes, invoices, payments, accounting sync); Pro £37 (adds branding, enquiry forms, photos, recurring jobs, job costing, timesheets, compliance certificates); Plus £44 (adds service reminders, purchase orders, bulk invoicing, kit bundles, service reports); Custom on request. 14-day trial, monthly, no contract. SMS 10p each. VAT treatment not stated.</t>
  </si>
  <si>
    <t xml:space="preserve">| Area | Detail |
|---|---|
| Quoting | Quotes from price list items and kits; online acceptance [V/K] |
| Jobs / scheduling | Job board by status/category; drag-and-drop schedule; recurring jobs (Pro) [V] |
| Timesheets | Staff and subcontractors log time against jobs on their own devices [V] |
| Materials / POs | POs linked to quotes, jobs, invoices and customers; move quote/job items straight into a PO; match supplier invoices to POs; import supplier price lists by CSV [V] |
| Stock | Minimal; reviewers call inventory weak [V] |
| Variations / progress | Partial invoicing; no UK application-for-payment workflow [K] |
| Compliance | Compliance certificates (Pro) [V]; no RAMS builder [K] |
| Accounting | Creates bills, payments, suppliers and customers in Xero; contact changes sync [V] |
| Job costing | Snapshot of profit and cost per job [V] |
| Portal | No customer portal [K] |
| AI | Nothing significant found [V – search found none] |</t>
  </si>
  <si>
    <t xml:space="preserve">Quote items → job → PO (copy items) → supplier bill matched to PO → job cost → invoice → Xero. Timesheet hours cost to the job. Price lists feed quotes, POs and bills. There is no CVR or retention.</t>
  </si>
  <si>
    <t xml:space="preserve">• "Copy to PO" from any priced list (BoQ lines, SoW items, a won quote), not only from material requests.
• Kit bundles (see Top 25 #5).
• Service reminders / recurring jobs for maintenance contracts (gutter clears, annual roof inspections) feeding the Repair/Maintenance tile.</t>
  </si>
  <si>
    <t xml:space="preserve">Capterra UK 4.7/5 (152) [V]. Seen as pricey per user; weak reporting, scheduling and inventory; slow pages; no offline mode; no Google Calendar; "sent from Tradify" on emailed invoices [V].
---</t>
  </si>
  <si>
    <t xml:space="preserve">• UK pricing (checked 22 Oct 2026): https://www.kaeltripton.com/tradify-pricing-uk/
• Features: https://www.tradifyhq.com/features
• Purchase orders: https://tradifyhq.com/features/purchase-order-software
• Capterra UK reviews: https://www.capterra.co.uk/reviews/152413/tradify</t>
  </si>
  <si>
    <t xml:space="preserve">Fergus</t>
  </si>
  <si>
    <t xml:space="preserve">Trade job management</t>
  </si>
  <si>
    <t xml:space="preserve">Plumbing/electrical/building SMEs</t>
  </si>
  <si>
    <t xml:space="preserve">Good (UK pricing, UK support)</t>
  </si>
  <si>
    <t xml:space="preserve">£39 Essentials / £45 Pro per user/month list (90% off promo to Dec 2026); timesheet users £12, contractors £2/day [V]</t>
  </si>
  <si>
    <t xml:space="preserve">Medium: supplier invoice import to jobs/phases, job phases, AI assistant</t>
  </si>
  <si>
    <t xml:space="preserve">• What: Job management for trades. NZ-founded; 26,000+ tradespeople in AU, NZ and the UK [V, Sep 2026]. UK and Ireland localisation (tax, compliance, invoicing) [V].
• Pricing UK (fergus.com/uk/pricing, Oct 2026) [V]: Essentials £39 and Pro £45 per user/month list (on promo at £3.90 / £4.50 until December); Enterprise (10+ staff) custom. Timesheet-only users £12/month, contractor users £2 per user per day, SMS £8 per 100, card fees 1.6% + 20p. Pro adds automatic supplier integrations, job phases, POs, forms, checklists, hazards/SWMS and advanced reporting. 14-day trial, no lock-in.</t>
  </si>
  <si>
    <t xml:space="preserve">| Area | Detail |
|---|---|
| Quoting | Labour, materials and markup; e-acceptance; branded templates (Aug 2025); takeoff via Groundplan integration [V] |
| Jobs | Status board; job phases (Pro) so large jobs are quoted, costed and invoiced in stages [V]; PDF work order → job by AI (Aug 2025) [V] |
| Scheduling | Visual schedule board [V] |
| Time / labour | Time and materials against each job; timesheet-only users [V] |
| Materials / suppliers | 100+ supplier integrations: supplier invoices flow in line by line and are assigned to a job in one click, can be split across jobs and phases; supplier price books uploaded or auto-synced; POs to suppliers for pricing, collection or delivery [V] |
| H&amp;S | Hazards and SWMS (Pro) – AU-style; reviewers call H&amp;S clunky [V] |
| Accounting | Xero, QuickBooks, MYOB [V] |
| Job costing | Financial summary and profit per job [V] |
| Payments | Fergus Pay [V] |
| AI | Fergus Assistant (web: set up jobs, build quotes, schedule, prepare invoices, draft messages, answer "why is this job losing money?" and build reports on request); Assistant on Fergus Go (voice/text on site, logging time and notes); Fergus AI (Sep 2026) for end-to-end admin. Uses existing permissions and asks for confirmation before anything is created, changed or sent [V] |</t>
  </si>
  <si>
    <t xml:space="preserve">Supplier invoice line items arrive electronically and are dropped onto job/phase cost. Time and materials flow onto the invoice pre-filled. Phases give stage budgets and stage invoices.</t>
  </si>
  <si>
    <t xml:space="preserve">• AI Assistant with a confirmation step (Top 25 #1).
• Voice notes from site that become structured records (Top 25 #8).
• Cheaper "timesheet-only" and "day-rate contractor" user types. A useful pattern if OpHUB is ever sold to other contractors.
• PDF work order → repair job. Housing association and managing agent work orders become a Repair/Maintenance job automatically.</t>
  </si>
  <si>
    <t xml:space="preserve">GetApp UK 4.6/5 (155; sampled reviews 2018–21) [V]. Published quotes cannot be edited; price book and favourites search weak; H&amp;S tools clunky; overtime entered by hand; costly for part-time staff [V].
---</t>
  </si>
  <si>
    <t xml:space="preserve">• UK pricing: https://www.fergus.com/uk/pricing/
• Product facts page: https://fergus.com/llm-info/
• Supplier integrations: https://fergus.com/integrations/suppliers/
• AI-first launch (13 Sep 2026): https://completeaitraining.com/news/fergus-launches-ai-first-job-management-for-tradespeople/
• PDF work order import and templates (Aug 2025): https://electricalcontractingnews.com/news/products/software-and-apps/fergus-introduces-new-tools-for-job-management/
• GetApp UK reviews: https://www.getapp.co.uk/reviews/105833/fergus
• Toolradar pricing (Oct 2026): https://toolradar.com/tools/fergus/pricing</t>
  </si>
  <si>
    <t xml:space="preserve">ServiceM8</t>
  </si>
  <si>
    <t xml:space="preserve">Service job app (iPhone-first)</t>
  </si>
  <si>
    <t xml:space="preserve">Small service trades, high job counts</t>
  </si>
  <si>
    <t xml:space="preserve">Medium (UK pricing; iOS-first)</t>
  </si>
  <si>
    <t xml:space="preserve">£0–£269/month by jobs per month, unlimited users [V, Oct 2026]</t>
  </si>
  <si>
    <t xml:space="preserve">Low: add-ons for costing, progress invoicing, POs</t>
  </si>
  <si>
    <t xml:space="preserve">• What: Job management for small service businesses, iPhone-first (full app on iOS, "lite" Android) [V, review].
• UK pricing (checked 22 Oct 2026) [V]: priced by jobs per month, unlimited users on paid plans: Free £0 (30 jobs, 1 user); Starter £25 (50); Growing £59 (150); Premium £119 (500); Premium Plus £269 (1,500+). 14-day trial. VAT not stated.</t>
  </si>
  <si>
    <t xml:space="preserve">| Area | Detail |
|---|---|
| Quotes / jobs | Job cards, quotes, online booking, text reminders [V] |
| Scheduling | Dispatch board, staff GPS [K] |
| Add-ons | Job Costing, Markup Billing (cost and markup per item), Partial/Progress Invoicing, Bundles, MyPO (POs), Forms, Automated Timesheet Sync (clock-on/off → Xero/QBO/MYOB timesheets), Deputy rostering [V] |
| Accounting | Two-way customer and item sync with Xero; invoices to Xero in two taps; payments sync both ways [V] |
| Portal | Self-serve online booking; no full client portal [V] |
| AI | Nothing specific found [V] |</t>
  </si>
  <si>
    <t xml:space="preserve">Fairly loose: costing is an add-on, and POs are a third-party add-on. The strong part is clock-on/off → payroll timesheets in Xero.</t>
  </si>
  <si>
    <t xml:space="preserve">• Push approved check-in hours into Xero Payroll as timesheets. OpHUB already does "wage pushes"; check that hours, not only amounts, are pushed where staff are hourly.
• Pricing by usage, not seats, if OpHUB is ever sold to others.</t>
  </si>
  <si>
    <t xml:space="preserve">Capterra UK 4.5/5 (311) [V]. Paid add-ons pile up; iOS-only full app; card payment fees; support complaints and a price change during migration; staff cannot set their own availability; forms cannot be job tasks [V].
---</t>
  </si>
  <si>
    <t xml:space="preserve">• UK pricing (checked 22 Oct 2026): https://www.kaeltripton.com/servicem8-uk/
• Add-ons: https://www.servicem8.com/addons
• Xero integration (UK): https://servicem8.com/uk/xero-integration
• Capterra UK reviews: https://www.capterra.co.uk/reviews/110711/servicem8</t>
  </si>
  <si>
    <t xml:space="preserve">Procore</t>
  </si>
  <si>
    <t xml:space="preserve">Enterprise construction platform</t>
  </si>
  <si>
    <t xml:space="preserve">Main contractors, large subcontractors</t>
  </si>
  <si>
    <t xml:space="preserve">Present (UK site and UK support docs) but US-centric finance</t>
  </si>
  <si>
    <t xml:space="preserve">Annual fee by construction volume; est. $15–30k/yr for small GCs (third-party) [V-estimate]</t>
  </si>
  <si>
    <t xml:space="preserve">Very high: budget, commitments, change events, invoicing, forecasting</t>
  </si>
  <si>
    <t xml:space="preserve">• What: Enterprise construction management covering project management, quality and safety, financials, preconstruction, Procore Pay, analytics and AI (Helix / Assist / Agents).
• Who: Main contractors, large specialist subcontractors, owners/developers.
• UK: UK website and UK-English support docs (v2.support.procore.com/en-gb) [V]; used by UK tier 1–3 contractors [K]. Finance is US-shaped (AIA billing, retainage), though "retention" is supported [V].
• Pricing: No public rate card. Annual fee by product and Annual Construction Volume (ACV), unlimited users. Third-party estimate: ~$15k–30k/yr at $10–50m ACV, $30k–80k at $50–200m, plus first-year implementation that can be large [V-estimate, OneCrew Jul 2026, a competitor]. Capterra reviewers: "too expensive for a small contractor" [V].</t>
  </si>
  <si>
    <t xml:space="preserve">| Area | Detail |
|---|---|
| Estimating / precon | Estimating, takeoff, bid management; awarded bid → subcontract [V/K] |
| Project management | Drawings (with automatic register and revision handling, much praised), RFIs, submittals, daily log, meetings, schedule, photos [V] |
| Quality &amp; safety | Inspections, observations, incidents, permits/forms, action plans [K] |
| Timesheets / T&amp;M | Timesheets and crews; T&amp;M tickets signed in the field [K] |
| Commitments | Subcontracts and purchase orders with schedule of values (SoV), default retention %, payment settings [V] |
| Change management | Change events → potential change orders → commitment and prime change orders, with configurable tiers [V/K] |
| Invoicing | Owner invoices (payment applications) from the prime contract SoV; subcontractor invoices submitted by invoice contacts against their commitment; retention controls (Feb 2025): each pay app type is *Work, Materials &amp; Retention*, *Work &amp; Materials* (retention blocked) or *Retention Release* (only retention) [V] |
| Budget / forecasting | Budget by cost code with original, approved changes, revised, pending, committed, direct costs, job-to-date, projected cost, estimated cost at completion, projected over/under; budget views; forecasting tool [K] |
| Payments | "Payments Issued" updates budget automatically [V]; Procore Pay (mainly US) [K] |
| Accounting | ERP integrations (Sage Intacct, Viewpoint, etc.); in the UK typically via connectors [K] |
| AI | Helix intelligence layer; Procore Assist (photo intelligence summarising progress and safety from site photos; multilingual incl. Polish; mobile voice); Agent Builder (custom agents from natural-language prompts); pre-built RFI Creation Agent and Daily Log Agent (Groundbreak Oct 2025) [V]. Groundbreak 2026: Procore AI Go voice-first mobile app (open beta), NVIDIA digital twin (closed beta) [V] |</t>
  </si>
  <si>
    <t xml:space="preserve">Cost code is the spine. Budget lines, commitment SoV lines, change order lines, direct costs and timesheets all carry a cost code (and cost type), so the budget view rolls up *original → revised → committed → actual → projected* per code. Change events start as "pending budget changes" before they are approved, so exposure shows early. A subcontractor invoice is billed against its commitment SoV (% complete per line, retention by line), which gives the "% complete from the schedule" pattern. Owner pay apps come from the prime contract SoV.</t>
  </si>
  <si>
    <t xml:space="preserve">• Change events / early warnings (Top 25 #6): record a likely cost or revenue change before it is a priced variation, so CVR shows risk and opportunity.
• Subcontractor self-billing portal against their subcontract SoV (Top 25 #10). OpHUB has subcontractor applications; take it further so the sub enters % per SoV line and OpHUB applies retention per line.
• Retention release as its own application type (Procore's three pay app types) so retention cannot be claimed early by mistake.
• AI daily log agent (Top 25 #7) and photo intelligence (progress and safety summary from SoW photos).
• Polish/Romanian language for operatives' screens and AI answers. Procore added Polish; very relevant to UK roofing labour.</t>
  </si>
  <si>
    <t xml:space="preserve">Capterra UK 4.5/5 (2,680) [V]. Expensive for small firms; renewals inflexible; long learning curve; too much for smaller firms; hard for subcontractors and works best when the whole team adopts it; slow navigation [V]. Not built around UK CIS, VAT reverse charge or Construction Act notices [K].
---</t>
  </si>
  <si>
    <t xml:space="preserve">• Pricing analysis (Jul 2026, third party/competitor): https://www.getonecrew.com/post/procore-pricing
• Retention controls (14 Feb 2025): https://www.procore.com/en-au/whats-new/commitment-invoice-retainage-controls
• Commitments guide (UK English): https://v2.support.procore.com/en-gb/process-guides/general-contractor-financial-management-user-guide/commitments-tool
• AI at Groundbreak 2025 (and 2026 sidebar): https://www.businesswire.com/news/home/20251015796723/en/Procore-Advances-the-Future-of-Construction-with-New-AI-Innovations-at-Groundbreak-2025
• Capterra UK reviews: https://www.capterra.co.uk/reviews/56250/procore</t>
  </si>
  <si>
    <t xml:space="preserve">Buildertrend</t>
  </si>
  <si>
    <t xml:space="preserve">Residential builder platform</t>
  </si>
  <si>
    <t xml:space="preserve">US home builders and remodellers</t>
  </si>
  <si>
    <t xml:space="preserve">Weak (UK reviewers say VAT is manual)</t>
  </si>
  <si>
    <t xml:space="preserve">Quote only; est. ~$339–$1,099/month (third-party) [V-estimate]</t>
  </si>
  <si>
    <t xml:space="preserve">Medium–high: budgets, POs, bills, change orders, AIA-style progress billing (Sep 2026)</t>
  </si>
  <si>
    <t xml:space="preserve">• What: All-in-one platform for residential builders and remodellers (owns CoConstruct). US-centric.
• UK: Weak. A UK reviewer complains that VAT has to be added by hand to quotes and invoices [V]. Few integrations.
• Pricing: Not published; based on annual construction volume. Third-party estimates (Aug 2026) [V-estimate]: Essential ~$339–499/month; Advanced ~$499–799; Complete ~$829–1,099; unlimited users.</t>
  </si>
  <si>
    <t xml:space="preserve">| Area | Detail |
|---|---|
| Estimating / proposals | Estimates → proposals → budget; takeoff [V/K] |
| Scheduling | Gantt and calendar, crew notifications [V] |
| Daily logs | With photos and automatic weather [V] |
| Client portal | Strong: homeowner sees schedule, photos, selections, change orders, invoices; customer-facing daily reports and automatic emails [V] |
| Selections | Client picks finishes with allowances (Complete) [V] |
| Change orders | Client approves and e-signs; flows to budget and invoice [V/K] |
| POs / bills | POs to subs/suppliers, bills and lien waivers (US) [K]; AI Bill Capture (Sep 2026) [V] |
| Progress billing | AIA-style progress invoicing with SoV, retainage, cover sheets (Sep 2026) [V] |
| Accounting | QuickBooks, Xero, Sage Intacct two-way (Sep 2026) [V] |
| Warranty | Warranty and service requests (Complete) [V] |
| Time | Mobile time clock with GPS [V] |
| AI | AI Submittals, AI Bill Capture, AI Client Updates (drafts client progress messages; vendor claims 97% time saving), AI Plans (organises plan sets); acquired BizJet AI for agentic AI [V] |</t>
  </si>
  <si>
    <t xml:space="preserve">Estimate → budget (by cost code) → POs/bills against budget lines → change orders adjust budget and contract → invoices (deposit, progress/SoV, cost-plus). Time-clock hours cost to the job.</t>
  </si>
  <si>
    <t xml:space="preserve">• Weekly AI client update (Top 25 #9) built from SoW progress, photos and check-ins, reviewed by the PM before sending.
• Client / main-contractor portal (Top 25 #4).
• Weather stamped on every daily briefing and site diary entry (Top 25 #12). Useful for roofing delay claims.
• Warranty / defects requests after handover, logged against the O&amp;M manual's job.</t>
  </si>
  <si>
    <t xml:space="preserve">Capterra UK 4.5/5 (2,489) [V]. Overwhelming to set up; financial tools behind accounting packages; manual VAT; few integrations; scheduling too simple for commercial work; weak reporting; poor for corporate clients with several contacts; no published price or free trial [V].
---</t>
  </si>
  <si>
    <t xml:space="preserve">• Pricing breakdown (Aug 2026, third party): https://www.getonecrew.com/post/buildertrend-pricing
• AI and financial tools (29 Sep 2026): https://www.newsfilecorp.com/release/316422
• Capterra UK reviews: https://www.capterra.co.uk/reviews/70092/buildertrend</t>
  </si>
  <si>
    <t xml:space="preserve">Fieldwire</t>
  </si>
  <si>
    <t xml:space="preserve">Field task and drawings app</t>
  </si>
  <si>
    <t xml:space="preserve">Site teams, subcontractors</t>
  </si>
  <si>
    <t xml:space="preserve">Good (UK GBP pricing)</t>
  </si>
  <si>
    <t xml:space="preserve">Free / £33 / £50 / £67 per user/month annual (Capterra UK) [V]</t>
  </si>
  <si>
    <t xml:space="preserve">Low: basic budget tool on top tiers</t>
  </si>
  <si>
    <t xml:space="preserve">• What: Site task management built on drawings: plans, pins, punch lists, forms, inspections and RFIs. Owned by Hilti since 2021.
• UK pricing (Capterra UK) [V]: Basic free; Pro £33, Business £50, Business Plus £67 per user/month billed annually. US list Feb 2026: Pro $39 (annual) / $49 (monthly), Business $54 [V].</t>
  </si>
  <si>
    <t xml:space="preserve">| Area | Detail |
|---|---|
| Drawings | Fast plan viewer, versioning, hyperlinking, markups, tasks pinned on the drawing [V/K] |
| Tasks / punch | Tasks with status, priority, assignee, photos; punch lists; custom statuses (Pro) [V] |
| Forms | Daily reports, inspections, checklists; unlimited forms (Business); DocuSign signing of forms; role-based form permissions (Oct 2025) [V] |
| Scheduling | Gantt-lite; Microsoft Project import (Oct 2025) [V] |
| BIM | 3D model viewing and section cuts (Business) [V] |
| Budget | Basic budget tool (Business Plus) with activity tab, analytics bar and projected over/under (Oct 2025) [V] |
| Integrations | Procore, BIM 360, Smartsheet, Teams, Outlook, Google Drive; Hilti ON!Track tool tracking (Business) [V] |
| AI | AI photo tagging by discipline (Oct 2025) [V] |</t>
  </si>
  <si>
    <t xml:space="preserve">Weak by design. The budget tool sits on top of tasks. Churned users cite the need for financial management (43%) [V, competitor survey – treat with caution].</t>
  </si>
  <si>
    <t xml:space="preserve">• Snags and tasks pinned on drawings (Top 25 #15). OpHUB has plan markup (498) and snagging (500); join them so each snag is a pin on the roof plan, with a filterable plan view per block or plot.
• AI photo tagging of SoW, snag and delivery photos by trade or element (ridge, valley, flashing, gutter, scaffold) for search and O&amp;M.
• Tool/plant tracking with tags in the style of Hilti ON!Track, using QR stickers on the plant register (OpHUB has PUWER/LOLER; add scan-to-check-out to a site).</t>
  </si>
  <si>
    <t xml:space="preserve">Capterra UK 4.6/5 (99) [V]. Limited customisation; key features on dearer tiers; slow with large drawing sets or poor signal; mobile less capable than desktop; limited links to job management systems; no estimating or invoicing [V].
---</t>
  </si>
  <si>
    <t xml:space="preserve">• Capterra UK (GBP pricing, reviews): https://www.capterra.co.uk/reviews/142801/fieldwire
• 2026 pricing review (third party/competitor): https://constructionbids.ai/blog/fieldwire-review-pricing-contractors-2026
• Product updates (Oct 2025): https://www.fieldwire.com/blog/product-updates-2025-ai-photo-tagging/
• Pricing breakdown (Projul): https://projul.com/blog/fieldwire-pricing-breakdown/</t>
  </si>
  <si>
    <t xml:space="preserve">Coreloops</t>
  </si>
  <si>
    <t xml:space="preserve">UK construction finance / QS</t>
  </si>
  <si>
    <t xml:space="preserve">UK main and specialist contractors under £20m turnover</t>
  </si>
  <si>
    <t xml:space="preserve">Very strong (London; built for UK)</t>
  </si>
  <si>
    <t xml:space="preserve">Not published [V]</t>
  </si>
  <si>
    <t xml:space="preserve">Very high for its niche: BoQ budget, cost codes, POs, 3-way match, pay apps, CVR, Xero CIS journals</t>
  </si>
  <si>
    <t xml:space="preserve">• What: UK AI-assisted construction financial management: project cost reports, CVR, procurement, document inbox, payment applications, timesheets. London, founded 2021 [V].
• Who: UK construction SMEs, main contractors and subcontractors with turnover up to about £20m. Reviewers include ex-COINS users moving to something lighter [V].
• Pricing: Not published; "No implementation fees" [V].
• Reviews: Xero App Store 5.0 (2 reviews); G2 4.8 (2) [V]. Very little review data.</t>
  </si>
  <si>
    <t xml:space="preserve">| Area | Detail |
|---|---|
| Projects | Contract type, value, start, team |
| Cost codes | The common thread across documents, timesheets and BoQ; mapped to Xero nominal accounts with default purchase/sales accounts and VAT mapping |
| BoQ | Itemised scope and cost; the basis for budget vs actual |
| Variations | Approved variations update contract value and cost reports |
| Payment applications | Application from current BoQ lines; per line enter %, £ or quantity (the other two calculate); sidebar shows applied/certified to date, previous and this period; Certify per line, or import the client's certified spreadsheet; retention per line or flat (default 5%); locked once approved; front sheet (net contract value, total valuation, retention, net valuation, previously certified, gross due, VAT, net due); custom export templates. Only outbound applications; one VAT rate per project |
| Documents | POs, bills, invoices, credit notes: manual, upload, or auto-forwarded by email |
| AI cost tracking | Extracts data from quotes, invoices and timesheets and assigns project + cost code |
| Matching | Three-way matching of invoices against POs and delivery notes |
| Procurement | Create and approve POs; compare supplier quotes; track committed spend |
| Timesheets | Labour against project and cost code, approval, then cost reports |
| Reports | Cost report (budget, committed, actual by cost code), pay app summary, document register, labour cost report, CVR; new Forecasting module; Corepilot AI assistant (details not public) |
| Xero sync | Two-way contacts (incl. payment terms, bank details); approved invoices/POs pushed line by line; CIS: splits invoices into labour and materials, calculates 0/20/30% and creates CIS liability journals in Xero; sync status per document; up to 2 tracking categories; multi-currency |
| Also | QuickBooks and Sage sync (Capterra) |
| H&amp;S / site | None |</t>
  </si>
  <si>
    <t xml:space="preserve">BoQ line → cost code → budget. PO (committed) → delivery note → invoice (actual), three-way matched. Timesheets → cost code. Pay app built from BoQ lines → cost report. Variations change contract value. Cost code ↔ Xero nominal means project reports line up with the accounts.</t>
  </si>
  <si>
    <t xml:space="preserve">• Spreadsheet import of the client's certified figures onto an application (line match by reference/description) (Top 25 #14).
• CIS liability journals to Xero for subcontractor payments, and a labour/materials split on supplier invoices that are CIS (Top 25 #17).
• Cost code ↔ Xero nominal mapping screen, with a sync status pill per document (synced / syncing / needs attention, with the error text).
• Per-line VAT on applications (Coreloops supports only one rate per project). OpHUB can beat it on mixed reverse-charge and standard-rated lines.
• Supplier quote comparison (several quotes side by side for one requirement, pick a winner → PO). OpHUB has purchase quotes; add a compare view.
• Note: the parked "Coreloops PO API link" on OpHUB's future list matters less now that OpHUB Finance has its own POs, inbox and matching. RTB could decide to keep one system of record.</t>
  </si>
  <si>
    <t xml:space="preserve">Too few reviews to judge. Gaps seen in its own docs: outbound applications only (no subcontractor applications), single VAT rate per project, no site/H&amp;S, and no public API as of Oct 2026 (per OpHUB's own notes).
---</t>
  </si>
  <si>
    <t xml:space="preserve">• How Coreloops works: https://coreloops.featurebase.app/help/articles/14426411-how-coreloops-works
• Payment applications: https://coreloops.featurebase.app/help/articles/13931764-payment-applications
• Xero App Store listing (features, CIS, reviews): https://apps.xero.com/uk/app/coreloops
• Capterra UK: https://www.capterra.co.uk/software/1240661/Coreloops
• G2: https://www.g2.com/products/coreloops-ai/reviews</t>
  </si>
  <si>
    <t xml:space="preserve">BigChange</t>
  </si>
  <si>
    <t xml:space="preserve">UK field service + vehicle tracking</t>
  </si>
  <si>
    <t xml:space="preserve">Multi-trade field service, M&amp;E, facilities, some construction</t>
  </si>
  <si>
    <t xml:space="preserve">Very strong (Leeds)</t>
  </si>
  <si>
    <t xml:space="preserve">Was £79.95 Standard / £99.95 Plus per licence/month; quote only since Jun 2026 [V]</t>
  </si>
  <si>
    <t xml:space="preserve">Medium: jobs, stock, invoicing, Sage/Xero; reviewers find financial reporting weak</t>
  </si>
  <si>
    <t xml:space="preserve">• What: UK (Leeds) job management, CRM, scheduling, mobile workforce and vehicle tracking platform. Acquired by Simpro Group (Oct 2024) [V].
• Who: Multi-trade field service, facilities, M&amp;E, drainage, plus a construction page targeting site-based trades [V].
• Pricing: Published £79.95 Standard / £99.95 Plus per licence/month until 22 Jun 2026, then moved to quote only [V, PricingSaaS]. An older Capterra listing shows Vehicle Tracking £14.95, JobWatch £69.95, JobWatch Plus £99.95 per vehicle/month [V – older]. Add-ons: AI dashcams, fuel cards, fleet.</t>
  </si>
  <si>
    <t xml:space="preserve">| Area | Detail |
|---|---|
| Quoting | Quote on site [V] |
| Scheduling | Smart allocation of people and equipment by skills, certifications and availability; flexible rescheduling for weather or material delays; ETA alerts; RAIN: live re-optimisation [V] |
| Labour | Mobile clock in/out for labour cost and payroll [V] |
| Worksheets | Custom worksheets with logic; job reports on time, materials used and quality checks [V] |
| H&amp;S | Digital site inductions that must be done before work starts; expiring certification alerts (e.g. CSCS); near-miss reporting from mobile [V] |
| Network | Subcontractor network: send jobs to subcontractors who use their own BigChange app [V/K] |
| Stock | Stock and equipment features (reviewers say set-up is weak) [V] |
| Finance | Invoicing, payments, Sage 50 and Xero [V]; reviewers say financial reporting needs work [V] |
| CRM / portal | CRM; client access rules / customer portal to view jobs and documents [V/K] |
| Vehicles | Live tracking, dashcams, fuel cards [V] |
| AI | "Delight", "Lightning", RAIN; AI-checked photo capture (checks the right evidence is captured first time) [V] |</t>
  </si>
  <si>
    <t xml:space="preserve">Job → time and materials recorded on worksheets → invoice → Sage/Xero. Light on project finance (no CVR, no BoQ applications).</t>
  </si>
  <si>
    <t xml:space="preserve">• Induction gate on check-in (Top 25 #11). Block site check-in until site induction, RAMS sign-off and valid cards are in place, with a PM override that is logged.
• AI photo checks on required evidence (Top 25 #13). E.g. a SoW item "Ridge fixed" needs a photo of the dry-ridge clips; AI confirms the photo shows it before % complete counts towards the application.
• Vehicle tracking link for the driver app. OpHUB already has routes; add live van position and ETA texts to the site contact.
• Weather-aware rescheduling (Top 25 #12).</t>
  </si>
  <si>
    <t xml:space="preserve">Capterra UK 4.5/5 (270) [V]; Trustpilot 3.4/5 (150; 32% one-star) [V]. Heavy set-up and data import; outages; weak financial reporting; weak stock and asset handling; thin admin mobile app; support said to have dropped since AI front-line support; auto-renewals at higher prices and hard cancellation; dated interface; slow development [V].
---</t>
  </si>
  <si>
    <t xml:space="preserve">• Construction page: https://www.bigchange.com/industries/construction-job-management-software
• Pricing history (Jun 2026): https://pricingsaas.com/companies/bigchange
• Capterra UK reviews: https://www.capterra.co.uk/reviews/149479/jobwatch-powered-by-bigchange
• Trustpilot: https://pt.trustpilot.com/review/bigchange.com
• Acquisition by Simpro: https://www.businesswire.com/news/home/20241025262794/en/Simpro-Group-Acquires-BigChange</t>
  </si>
  <si>
    <t xml:space="preserve">Powered Now</t>
  </si>
  <si>
    <t xml:space="preserve">UK sole-trader / small-trade app</t>
  </si>
  <si>
    <t xml:space="preserve">1–10 person UK trades incl. roofers</t>
  </si>
  <si>
    <t xml:space="preserve">Very strong (UK-built, MTD/VAT)</t>
  </si>
  <si>
    <t xml:space="preserve">£28 / £32 / £40 per user/month ex VAT (Business/Professional/Premium) [V]</t>
  </si>
  <si>
    <t xml:space="preserve">Low–medium: quotes → invoices, supplier invoices/POs, expenses</t>
  </si>
  <si>
    <t xml:space="preserve">• What: UK-built job, quote and invoice app for trades, with a roofing-specific page [V]. Strong on UK compliance (MTD for Income Tax, VAT returns) [V].
• Pricing (per user, ex VAT) [V]: Business £28/month (£280/yr): quotes, invoices with payment links, jobs, diary, job sheets, expenses, supplier invoices and POs, MTD. Professional £32 (£320/yr): certificates and custom forms, unlimited SMS/email, VAT returns, Xero/QuickBooks, staff time and location tracking, team chat, What3Words routing. Premium £40 (£400/yr): customer portal, AI receipt scanning, automatic quote and invoice chasing, drag-and-drop scheduling, AI text writing, drawings and annotations, appointment reminders. PN Receptionist AI phone answering add-on £29–£39/month. 14-day trial, no card, no contract.
• Reviews: Capterra UK 4.7/5 (137) [V].</t>
  </si>
  <si>
    <t xml:space="preserve">Quotes covering materials, labour and access (scaffold) → invoices; multi-day job scheduling with weather adjustment; risk assessments; photo and document audit trail per job; multi-stage projects; deposits and part payments; customer portal; What3Words; AI receptionist [V].</t>
  </si>
  <si>
    <t xml:space="preserve">Quote → job → invoice, with supplier invoices/POs and expenses on the job. Basic job profit. No CVR or applications.</t>
  </si>
  <si>
    <t xml:space="preserve">• Automatic chasing (Top 25 #3). Timed reminders on overdue sales invoices and on applications past their final date for payment, using OpHUB's own templates, with statements attached.
• What3Words on sites, sub-addresses and delivery drops for drivers, plus a scaffold/access line on repair quotes.
• AI receptionist / enquiry capture. Probably not for RTB's commercial work; possibly for the repair line.</t>
  </si>
  <si>
    <t xml:space="preserve">Occasional glitches needing a restart; no deposit on invoices (older reviews; deposits now listed); no statements or automatic reminders on lower plans; awkward for several quotes per contact; changing an appointment does not notify the customer; seen as expensive for small firms [V, 2019–22 reviews].
---</t>
  </si>
  <si>
    <t xml:space="preserve">• Pricing: https://powerednow.com/pricing?hsLang=en
• Roofing page: https://www.powerednow.com/job-management-software-for-roofers
• Capterra UK reviews: https://www.capterra.co.uk/reviews/148383/powered-now</t>
  </si>
  <si>
    <t xml:space="preserve">Where OpHUB stands against the market</t>
  </si>
  <si>
    <t xml:space="preserve">Status: Ahead / Level / Behind / Missing.</t>
  </si>
  <si>
    <t xml:space="preserve">Capability</t>
  </si>
  <si>
    <t xml:space="preserve">OpHUB today</t>
  </si>
  <si>
    <t xml:space="preserve">Who does it best</t>
  </si>
  <si>
    <t xml:space="preserve">What to do</t>
  </si>
  <si>
    <t xml:space="preserve">Site H&amp;S: RAMS, COSHH, permits, inductions, HAVS, PUWER/LOLER, toolbox talks</t>
  </si>
  <si>
    <t xml:space="preserve">Full builders with signatures, libraries, yearly re-sign, PDFs.</t>
  </si>
  <si>
    <t xml:space="preserve">Ahead</t>
  </si>
  <si>
    <t xml:space="preserve">Procore (forms), BigChange (checklists)</t>
  </si>
  <si>
    <t xml:space="preserve">Keep. Add an induction/card gate on check-in (Top 25 #11).</t>
  </si>
  <si>
    <t xml:space="preserve">Applications for payment, certificates, retention, pay-less, reverse-charge VAT</t>
  </si>
  <si>
    <t xml:space="preserve">Applied/Certified columns, retention limits, Excel round-trip, client certificate upload, autosave.</t>
  </si>
  <si>
    <t xml:space="preserve">Level</t>
  </si>
  <si>
    <t xml:space="preserve">Fix FB-09 (client Excel variations) and FA-02/FA-08/FA-19 retention edges; add pre-application "request for claim" draft.</t>
  </si>
  <si>
    <t xml:space="preserve">Bill of Quantities → schedule of works → progress %</t>
  </si>
  <si>
    <t xml:space="preserve">BoQ sends to SoW; site % suggests application %.</t>
  </si>
  <si>
    <t xml:space="preserve">Simpro (progress claims), Procore (SOV)</t>
  </si>
  <si>
    <t xml:space="preserve">Weight site % by value; flag tasks whose BoQ line was deleted (P28).</t>
  </si>
  <si>
    <t xml:space="preserve">Job costing, CVR, budget vs actual by cost code</t>
  </si>
  <si>
    <t xml:space="preserve">Budgets, forecast, CVR, cost codes, monthly reports.</t>
  </si>
  <si>
    <t xml:space="preserve">Coreloops, Procore</t>
  </si>
  <si>
    <t xml:space="preserve">Add early warnings / change events feeding CVR (Top 25 #6).</t>
  </si>
  <si>
    <t xml:space="preserve">Labour costing</t>
  </si>
  <si>
    <t xml:space="preserve">Day rate × days from check-ins; labour typed in three places.</t>
  </si>
  <si>
    <t xml:space="preserve">Behind</t>
  </si>
  <si>
    <t xml:space="preserve">Simpro, Fergus, Tradify timesheets</t>
  </si>
  <si>
    <t xml:space="preserve">True cost rate + on-costs vs charge-out; split days across jobs by check-in time; one labour record (P09–P12, Top 25 #2).</t>
  </si>
  <si>
    <t xml:space="preserve">Purchase orders from site material requests</t>
  </si>
  <si>
    <t xml:space="preserve">Works for Finance users; PMs without Finance raise none; cancelled requests leave POs open.</t>
  </si>
  <si>
    <t xml:space="preserve">Coreloops, Simpro</t>
  </si>
  <si>
    <t xml:space="preserve">P02 + P03 at go-live.</t>
  </si>
  <si>
    <t xml:space="preserve">3-way match (PO · goods received · invoice)</t>
  </si>
  <si>
    <t xml:space="preserve">GRN on deliveries and PO checks; inbox-filed invoices skip GRN checks; Finance POs can't be received.</t>
  </si>
  <si>
    <t xml:space="preserve">P04/P05: receive per PO line, driver collection = GRN, port checks into inbox filing.</t>
  </si>
  <si>
    <t xml:space="preserve">AI reading of supplier invoices, quotes, statements</t>
  </si>
  <si>
    <t xml:space="preserve">AI inbox, quotes, price lists, statement matching.</t>
  </si>
  <si>
    <t xml:space="preserve">Coreloops Corepilot, Fergus</t>
  </si>
  <si>
    <t xml:space="preserve">Guard against prompt injection in auto-filing (SEC-L5); add de-duplication across devices (FA-03).</t>
  </si>
  <si>
    <t xml:space="preserve">Supplier price lists / catalogues</t>
  </si>
  <si>
    <t xml:space="preserve">Yearly price lists + project quotes pulled into POs.</t>
  </si>
  <si>
    <t xml:space="preserve">Simpro (live supplier catalogues)</t>
  </si>
  <si>
    <t xml:space="preserve">Later: price-change alerts when a new list is uploaded; kit bundles (Top 25 #5).</t>
  </si>
  <si>
    <t xml:space="preserve">Stock / yard</t>
  </si>
  <si>
    <t xml:space="preserve">Yard stock with issue/return to jobs and costs.</t>
  </si>
  <si>
    <t xml:space="preserve">Simpro, BigChange</t>
  </si>
  <si>
    <t xml:space="preserve">Book stock in from POs and leftovers back from site (P26).</t>
  </si>
  <si>
    <t xml:space="preserve">Plant</t>
  </si>
  <si>
    <t xml:space="preserve">Owned register + LOLER; hire costs in Finance; owned plant carries no cost.</t>
  </si>
  <si>
    <t xml:space="preserve">Internal hire rates for owned plant; off-hire button on site (P13/P14).</t>
  </si>
  <si>
    <t xml:space="preserve">Subcontractors &amp; CIS</t>
  </si>
  <si>
    <t xml:space="preserve">Sub applications, CIS deductions, pay runs, Xero.</t>
  </si>
  <si>
    <t xml:space="preserve">Coreloops (CIS journals to Xero)</t>
  </si>
  <si>
    <t xml:space="preserve">Check CIS-after-contra (FA-06); one subcontractor record (P16); CIS journals to Xero (Top 25 #17).</t>
  </si>
  <si>
    <t xml:space="preserve">Variations / change control</t>
  </si>
  <si>
    <t xml:space="preserve">Two tables (site and finance), one-way, no £ value from site.</t>
  </si>
  <si>
    <t xml:space="preserve">Procore change events, Simpro</t>
  </si>
  <si>
    <t xml:space="preserve">P06: value on site variations, sync both ways; P07 extra-work claims → variations.</t>
  </si>
  <si>
    <t xml:space="preserve">Day works</t>
  </si>
  <si>
    <t xml:space="preserve">Finance-only register.</t>
  </si>
  <si>
    <t xml:space="preserve">Procore T&amp;M tickets, Simpro</t>
  </si>
  <si>
    <t xml:space="preserve">P08: site day-work sheet with labour from check-ins and client signature.</t>
  </si>
  <si>
    <t xml:space="preserve">Invoicing, Xero sync, credit control</t>
  </si>
  <si>
    <t xml:space="preserve">Invoices with PDF/email, Xero both ways; no automatic chasing.</t>
  </si>
  <si>
    <t xml:space="preserve">Powered Now, Jobber, Simpro</t>
  </si>
  <si>
    <t xml:space="preserve">Automatic chasing rules on due/final dates (Top 25 #3).</t>
  </si>
  <si>
    <t xml:space="preserve">Scheduling &amp; dispatch</t>
  </si>
  <si>
    <t xml:space="preserve">Site calendar, deliveries/driver routes, team assignment.</t>
  </si>
  <si>
    <t xml:space="preserve">BigChange, Simpro dispatch boards</t>
  </si>
  <si>
    <t xml:space="preserve">Money and PO dates on calendars (P20); weather on briefings (Top 25 #12).</t>
  </si>
  <si>
    <t xml:space="preserve">Drawings &amp; snagging</t>
  </si>
  <si>
    <t xml:space="preserve">Drawings, plan markup, snagging (separate).</t>
  </si>
  <si>
    <t xml:space="preserve">Pin snags on drawings (Top 25 #15); snag → contra charge (P17).</t>
  </si>
  <si>
    <t xml:space="preserve">Client / main contractor portal</t>
  </si>
  <si>
    <t xml:space="preserve">None (clients can be given a view-only login).</t>
  </si>
  <si>
    <t xml:space="preserve">Buildertrend, Procore, Simpro</t>
  </si>
  <si>
    <t xml:space="preserve">Portal with progress, photos, applications, invoices, sign-offs (Top 25 #4).</t>
  </si>
  <si>
    <t xml:space="preserve">AI assistant (ask your data, draft records)</t>
  </si>
  <si>
    <t xml:space="preserve">None.</t>
  </si>
  <si>
    <t xml:space="preserve">Fergus Assistant, Simpro RAIN, Procore Assist</t>
  </si>
  <si>
    <t xml:space="preserve">OpHUB Assistant with a confirm step (Top 25 #1).</t>
  </si>
  <si>
    <t xml:space="preserve">Automated client updates</t>
  </si>
  <si>
    <t xml:space="preserve">Buildertrend, Procore</t>
  </si>
  <si>
    <t xml:space="preserve">Weekly progress update drafted from SoW, photos and check-ins (Top 25 #9).</t>
  </si>
  <si>
    <t xml:space="preserve">Multilingual operative screens</t>
  </si>
  <si>
    <t xml:space="preserve">English only.</t>
  </si>
  <si>
    <t xml:space="preserve">Procore Assist</t>
  </si>
  <si>
    <t xml:space="preserve">Polish/Romanian for operative screens and voice notes (Top 25 #8).</t>
  </si>
  <si>
    <t xml:space="preserve">Offline working on site</t>
  </si>
  <si>
    <t xml:space="preserve">Offline cache, offline reports, autosave.</t>
  </si>
  <si>
    <t xml:space="preserve">Fieldwire, Procore</t>
  </si>
  <si>
    <t xml:space="preserve">Watch localStorage size (CORE-M6).</t>
  </si>
  <si>
    <t xml:space="preserve">Quoting / estimating → job → invoice</t>
  </si>
  <si>
    <t xml:space="preserve">Price builder &amp; rate cards (WIP), BoQ; no client quote document that converts to a job.</t>
  </si>
  <si>
    <t xml:space="preserve">Tradify, Fergus, Simpro, Powered Now</t>
  </si>
  <si>
    <t xml:space="preserve">Client quote from BoQ/rate card that converts to the job and its BoQ (P18).</t>
  </si>
  <si>
    <t xml:space="preserve">Top 25 ideas from the competitors, ranked for a UK roofing contractor</t>
  </si>
  <si>
    <t xml:space="preserve">Effort: S = days, M = 1–3 weeks, L = a month or more. Each was checked against OpHUB's code so it builds on what exists.</t>
  </si>
  <si>
    <t xml:space="preserve">Idea</t>
  </si>
  <si>
    <t xml:space="preserve">Who does it</t>
  </si>
  <si>
    <t xml:space="preserve">What it would do in OpHUB</t>
  </si>
  <si>
    <t xml:space="preserve">Effort</t>
  </si>
  <si>
    <t xml:space="preserve">OpHUB Assistant (ask your data, act with confirmation)</t>
  </si>
  <si>
    <t xml:space="preserve">Fergus Assistant; Procore Assist / Agent Builder; Coreloops Corepilot</t>
  </si>
  <si>
    <t xml:space="preserve">A chat panel on Finance and Projects that answers plain-English questions from the job "book" and site data ("Why has margin on Plot 12 dropped?", "What's owed to us over 30 days?", "Who's on site at Bramley tomorrow without IPAF?"). It can draft records (variation, PO, application, chase email) but always shows a confirmation card before saving, using the user's existing permissions and RLS. Runs through an edge function like finance-ai-read.</t>
  </si>
  <si>
    <t xml:space="preserve">True labour costing: cost rate + on-costs vs charge-out rate</t>
  </si>
  <si>
    <t xml:space="preserve">Simpro, Fergus, Tradify, Procore timesheets</t>
  </si>
  <si>
    <t xml:space="preserve">Today labour is days × day rate from check-ins. Add per-person cost rate (with employer NI, pension, holiday accrual and travel on-cost %) and a separate charge-out / daywork rate. Partial days come from check-in/out times (hours, with half-day rounding rules). Overtime/weekend multipliers. Labour cost to the job at true cost; dayworks and variations priced at charge-out. Fixes the "overtime entered by hand" weakness seen in Fergus reviews.</t>
  </si>
  <si>
    <t xml:space="preserve">Automatic chasing of overdue invoices and applications</t>
  </si>
  <si>
    <t xml:space="preserve">Powered Now Premium; Jobber; Simpro</t>
  </si>
  <si>
    <t xml:space="preserve">Rules such as "3 days before final date for payment → reminder; 1 day after → chase with statement; 7 days after → escalate to Andy". Uses final_date/due_date already on applications. Templates per client; log of every chase on the job; pauses when Xero shows paid. Optional "suspension of performance" warning letter template (Construction Act s.112).</t>
  </si>
  <si>
    <t xml:space="preserve">Client / main-contractor portal</t>
  </si>
  <si>
    <t xml:space="preserve">Buildertrend; Powered Now; Simpro; BigChange; Jobber</t>
  </si>
  <si>
    <t xml:space="preserve">A secure, read-only link per job for the client QS/PM: current programme %, SoW progress photos, applications and certificates (download), variations awaiting sign-off (sign on screen), snag list status, H&amp;S pack and the O&amp;M manual at handover. Cuts email chasing and shows RTB as professional.</t>
  </si>
  <si>
    <t xml:space="preserve">Kits / assemblies for roofing build-ups</t>
  </si>
  <si>
    <t xml:space="preserve">Tradify kit bundles; ServiceM8 Bundles; Simpro pre-builds</t>
  </si>
  <si>
    <t xml:space="preserve">Define assemblies such as "Slate roof per m²" = slates, battens, membrane, nails, hooks, labour hours, wastage %. Use them in the Price Builder, the BoQ and repair quotes. A won job auto-generates material requests by area, and the budget by cost heading. Links the existing Price Builder, price book and Material Requests.</t>
  </si>
  <si>
    <t xml:space="preserve">Change events / early warnings feeding CVR</t>
  </si>
  <si>
    <t xml:space="preserve">Procore change events; NEC early warnings</t>
  </si>
  <si>
    <t xml:space="preserve">Log a likely change (delay, extra scaffold days, client instruction by email) before it is a priced variation, with estimated cost £ and value £ and likelihood. CVR and the monthly report show "risk and opportunity" columns, and variations can be created from an event. Today variations start at "Instructed".</t>
  </si>
  <si>
    <t xml:space="preserve">AI site diary / daily log drafted automatically</t>
  </si>
  <si>
    <t xml:space="preserve">Procore Daily Log Agent; Buildertrend daily logs</t>
  </si>
  <si>
    <t xml:space="preserve">Each evening, draft the site diary from data OpHUB already holds: who checked in and hours, deliveries received (GRNs), plant on/off hire, SoW items progressed and photos, permits, incidents, weather. The PM reviews and signs it. This becomes a dated record for delay and extension-of-time claims and disputes.</t>
  </si>
  <si>
    <t xml:space="preserve">Voice updates from site (multilingual)</t>
  </si>
  <si>
    <t xml:space="preserve">Fergus Go Assistant; Procore AI Go and Assist (Polish)</t>
  </si>
  <si>
    <t xml:space="preserve">Operative or supervisor holds a mic button and says "Ridge on block B done, three slates broken on the south slope, need 20 more". AI turns it into a SoW % update, a snag with location, and a material request line for the PM to confirm. Accepts Polish/Romanian and replies in the user's language.</t>
  </si>
  <si>
    <t xml:space="preserve">Weekly AI progress update to the client</t>
  </si>
  <si>
    <t xml:space="preserve">Buildertrend AI Client Updates</t>
  </si>
  <si>
    <t xml:space="preserve">Every Friday, draft a short client update per job from SoW % changes, photos, delays and upcoming works. The PM edits and approves; it is sent by email or appears in the portal (#4).</t>
  </si>
  <si>
    <t xml:space="preserve">Subcontractor self-service applications against their SoV</t>
  </si>
  <si>
    <t xml:space="preserve">Procore subcontractor invoices; Payapps; Causeway Vision</t>
  </si>
  <si>
    <t xml:space="preserve">Subcontractors log in (role exists) and apply per line of their subcontract SoV (%, £ or qty, as in Coreloops). OpHUB fills the previous figures, works out retention per line, checks CIS status and insurance expiry, and produces the payment or pay less notice by the statutory date. A clock shows days to the final date.</t>
  </si>
  <si>
    <t xml:space="preserve">Hard induction and competency gate on check-in</t>
  </si>
  <si>
    <t xml:space="preserve">BigChange (inductions before work, CSCS expiry alerts); Causeway Donseed</t>
  </si>
  <si>
    <t xml:space="preserve">When checking in at a geofenced site, block (or warn, per site setting) if: no site induction, RAMS/COSHH not signed, a required card expired (CSCS, IPAF, PASMA, SSSTS, asbestos awareness) or a HAVS limit is reached. PM override with a logged reason. Expiry alerts 30/14/7 days ahead to the operative and the PM.</t>
  </si>
  <si>
    <t xml:space="preserve">Weather integration (planning, diary, delay records)</t>
  </si>
  <si>
    <t xml:space="preserve">BigChange rescheduling; Buildertrend daily logs; Powered Now</t>
  </si>
  <si>
    <t xml:space="preserve">Met Office/Open-Meteo forecast per site postcode on the calendar and daily briefing (wind speed against the working-at-height RAMS threshold, rain, temperature for membranes and sealants). Actual weather saved against each day for delay evidence. "Weather days lost" count per job on the CVR and in extension-of-time letters.</t>
  </si>
  <si>
    <t xml:space="preserve">AI evidence check on photos</t>
  </si>
  <si>
    <t xml:space="preserve">BigChange AI-checked photo capture; Simpro/AroFlo smart safety forms; Procore photo intelligence</t>
  </si>
  <si>
    <t xml:space="preserve">When marking a SoW item or inspection complete, AI checks the photo matches what is required (e.g. lead flashing dressed, eaves protection fitted, scaffold tagged) and flags poor or missing evidence before it counts towards an application or an O&amp;M manual. A later step: photo of the work area → pre-filled point-of-work risk assessment.</t>
  </si>
  <si>
    <t xml:space="preserve">Import the client's certified spreadsheet onto an application</t>
  </si>
  <si>
    <t xml:space="preserve">Coreloops certification import</t>
  </si>
  <si>
    <t xml:space="preserve">Upload the main contractor's valuation (Excel/PDF). AI matches lines by reference or description to OpHUB's BoQ/application lines and fills the Certified column, highlighting every line certified below applied. That gives the list to chase, or the basis for disputing a pay less notice.</t>
  </si>
  <si>
    <t xml:space="preserve">Snags and tasks as pins on drawings</t>
  </si>
  <si>
    <t xml:space="preserve">Fieldwire; Procore; Autodesk Build</t>
  </si>
  <si>
    <t xml:space="preserve">Join plan markup (498) and snagging (500): drop a pin on the roof plan to create a snag or task. Filter pins by status, trade or plot. Export a marked-up plan with a snag schedule for handover.</t>
  </si>
  <si>
    <t xml:space="preserve">Tender tracker → won → job with budget (already on OpHUB's future list)</t>
  </si>
  <si>
    <t xml:space="preserve">Simpro / BigChange CRM pipeline (RAIN 2026); Procore bidding</t>
  </si>
  <si>
    <t xml:space="preserve">Pipeline of tenders (to price → submitted → won/lost) with return-date reminders and win rates by client and estimator. "Won" creates the site, finance job, BoQ budget and SoW from the priced tender.</t>
  </si>
  <si>
    <t xml:space="preserve">CIS journals and CIS split on supplier invoices to Xero</t>
  </si>
  <si>
    <t xml:space="preserve">When a purchase invoice is from a CIS subcontractor, split labour and materials, apply 0/20/30%, and post the CIS liability journal to Xero. Monthly CIS300 checklist (who was paid, deductions, verification numbers) to hand to the accountant. Check against OpHUB's existing subcontract payments to avoid double counting.</t>
  </si>
  <si>
    <t xml:space="preserve">Original / revised / current budget with change log</t>
  </si>
  <si>
    <t xml:space="preserve">Simpro; Procore budget views</t>
  </si>
  <si>
    <t xml:space="preserve">Lock the original budget at job start. Approved variations and budget transfers create a revised budget, with a dated log of who changed what. CVR then shows margin fade against the original tender as well as against today's budget.</t>
  </si>
  <si>
    <t xml:space="preserve">Month-end WIP and accruals</t>
  </si>
  <si>
    <t xml:space="preserve">Simpro Job WIP; Procore; COINS/Eque2</t>
  </si>
  <si>
    <t xml:space="preserve">A month-end view per job: value earned (certified, plus applied but not certified at a chosen %), invoiced, over/under-billing, plus accruals for goods received not invoiced (from GRNs on POs) and labour not yet paid. Export the journal list for the accountant. Locks the period once signed off.</t>
  </si>
  <si>
    <t xml:space="preserve">Approval limits and approval routes</t>
  </si>
  <si>
    <t xml:space="preserve">Simpro (per-user value limits); Coreloops PO approval</t>
  </si>
  <si>
    <t xml:space="preserve">Per user or role: maximum PO value, purchase invoice approval limit, variation sign-off limit. Over the limit → route to the named approver with a push notification; approvals visible on the document trail.</t>
  </si>
  <si>
    <t xml:space="preserve">Smart operative allocation</t>
  </si>
  <si>
    <t xml:space="preserve">Simpro AI Scheduler; BigChange smart allocation</t>
  </si>
  <si>
    <t xml:space="preserve">When allocating a team to a site/day, rank operatives by valid tickets required by the RAMS, distance from home (postcode), availability, HAVS exposure left, and past productivity on similar SoW items. Show clashes and gaps on the 2-week calendar.</t>
  </si>
  <si>
    <t xml:space="preserve">Supplier quote comparison → PO</t>
  </si>
  <si>
    <t xml:space="preserve">Coreloops; Simpro multi-supplier price requests</t>
  </si>
  <si>
    <t xml:space="preserve">Send one material list to 2–4 suppliers/branches. Their emailed quotes are read by AI (existing reader) into a side-by-side grid with lead times; choose per line or per supplier and create the PO(s) in one click. The winning prices feed the price book.</t>
  </si>
  <si>
    <t xml:space="preserve">Planned maintenance contracts and recurring jobs</t>
  </si>
  <si>
    <t xml:space="preserve">Tradify service reminders; ServiceM8; Joblogic PPM</t>
  </si>
  <si>
    <t xml:space="preserve">For the Repair/Maintenance side: contracts with visit schedules (gutter clears, annual roof and fall-arrest inspections, man-safe testing). Jobs created automatically ahead of due date; certificate or report issued per visit; annual invoice or per-visit billing; renewal reminders. Recurring revenue for a roofer.</t>
  </si>
  <si>
    <t xml:space="preserve">QR tags on plant, tools and yard stock</t>
  </si>
  <si>
    <t xml:space="preserve">Hilti ON!Track (Fieldwire); Simpro field inventory</t>
  </si>
  <si>
    <t xml:space="preserve">QR labels on plant and tool register items and yard stock bins. Scan to check out to a site or person (plant cost starts on the job), check back in, record a PUWER/LOLER inspection, or do a stock-take count. Lost-kit report: last scanned where and by whom.</t>
  </si>
  <si>
    <t xml:space="preserve">PDF work order → repair job (AI)</t>
  </si>
  <si>
    <t xml:space="preserve">Fergus AI work-order import</t>
  </si>
  <si>
    <t xml:space="preserve">Forward a housing association or managing agent work order PDF/email. AI extracts the client order number, address, contact, priority/SLA, description and NTE (not-to-exceed) value and creates a Repair/Maintenance job in the right status, ready to allocate. SLA countdown on the tile.</t>
  </si>
  <si>
    <t xml:space="preserve">Suggested order of work</t>
  </si>
  <si>
    <t xml:space="preserve">The 24 Oct recommendation, with what is done by 27 Oct. The "Still to do" tab takes priority.</t>
  </si>
  <si>
    <t xml:space="preserve">Phase</t>
  </si>
  <si>
    <t xml:space="preserve">When</t>
  </si>
  <si>
    <t xml:space="preserve">Item</t>
  </si>
  <si>
    <t xml:space="preserve">Why now</t>
  </si>
  <si>
    <t xml:space="preserve">Done now?</t>
  </si>
  <si>
    <t xml:space="preserve">Note (27 Oct)</t>
  </si>
  <si>
    <t xml:space="preserve">This week</t>
  </si>
  <si>
    <t xml:space="preserve">Push overnight fixes; approve and apply the database security fixes (OneDrive tokens, check-ins, approval fields, storage buckets, logo check).</t>
  </si>
  <si>
    <t xml:space="preserve">SEC-C1, SEC-H1–H6</t>
  </si>
  <si>
    <t xml:space="preserve">They are the only Critical/High items left and they protect pay, money and files.</t>
  </si>
  <si>
    <t xml:space="preserve">Done</t>
  </si>
  <si>
    <t xml:space="preserve">Fixes pushed; security batches 1–3 applied. Left: reconnect OneDrive (C1), private buckets (H3).</t>
  </si>
  <si>
    <t xml:space="preserve">Fix the money bugs that give wrong figures: voided invoice links, duplicate inbox filing, CIS after contra, split PO costs, retention held.</t>
  </si>
  <si>
    <t xml:space="preserve">FA-02, FA-03, FA-06, FA-07, FA-08</t>
  </si>
  <si>
    <t xml:space="preserve">Wrong numbers erode trust in Finance during the trial.</t>
  </si>
  <si>
    <t xml:space="preserve">FA-03, FA-06, FA-08 fixed; FA-02 and FA-07 were not real bugs.</t>
  </si>
  <si>
    <t xml:space="preserve">Check the Supabase max-rows setting and page through big lists.</t>
  </si>
  <si>
    <t xml:space="preserve">Silent data loss on large companies.</t>
  </si>
  <si>
    <t xml:space="preserve">Mostly done</t>
  </si>
  <si>
    <t xml:space="preserve">Lists load in pages (FA-05, CORE-M5). Left: confirm the server row limit.</t>
  </si>
  <si>
    <t xml:space="preserve">Next 2 weeks</t>
  </si>
  <si>
    <t xml:space="preserve">Variations: value on site, sync both ways; extra-work claims → variations.</t>
  </si>
  <si>
    <t xml:space="preserve">P06, P07, L21, L22, L25, L26</t>
  </si>
  <si>
    <t xml:space="preserve">Currently the only Broken money link that reaches the client.</t>
  </si>
  <si>
    <t xml:space="preserve">Not started</t>
  </si>
  <si>
    <t xml:space="preserve">Site variations still reach Finance at £0 (L22).</t>
  </si>
  <si>
    <t xml:space="preserve">Go-live switches: conditional trial stubs; POs for every PM order; keep POs in step with requests.</t>
  </si>
  <si>
    <t xml:space="preserve">P01, P02, P03</t>
  </si>
  <si>
    <t xml:space="preserve">Needed before Finance leaves trial.</t>
  </si>
  <si>
    <t xml:space="preserve">P03 partly: a sent PO is locked in Projects and Finance changes it. P01 and P02 not started.</t>
  </si>
  <si>
    <t xml:space="preserve">Projects-side bugs: report/material ticks carrying over between jobs, HAVS badge, HAVS minutes lost, LOLER for operatives, single-person messages.</t>
  </si>
  <si>
    <t xml:space="preserve">PA-01, PB-02–PB-07</t>
  </si>
  <si>
    <t xml:space="preserve">Real day-to-day annoyances for PMs and operatives.</t>
  </si>
  <si>
    <t xml:space="preserve">PA-01 and PB-02 to PB-07 fixed on 25 Oct.</t>
  </si>
  <si>
    <t xml:space="preserve">This month</t>
  </si>
  <si>
    <t xml:space="preserve">Labour: one record, split days across jobs, sign-in vs invoice check, true cost rates.</t>
  </si>
  <si>
    <t xml:space="preserve">P09–P12, Top 25 #2</t>
  </si>
  <si>
    <t xml:space="preserve">Labour is the biggest cost and the biggest double entry.</t>
  </si>
  <si>
    <t xml:space="preserve">You asked for a full labour review once everything else is complete.</t>
  </si>
  <si>
    <t xml:space="preserve">Receiving: receive per PO line, driver collection = GRN, GRN checks in inbox filing.</t>
  </si>
  <si>
    <t xml:space="preserve">P04, P05</t>
  </si>
  <si>
    <t xml:space="preserve">Completes the 3-way match.</t>
  </si>
  <si>
    <t xml:space="preserve">Driver collection = goods received (P05) built. Receive per PO line (P04) not started; a delivery problem now puts invoices on query.</t>
  </si>
  <si>
    <t xml:space="preserve">Site day-work sheets signed by the client.</t>
  </si>
  <si>
    <t xml:space="preserve">Day works are often lost money in roofing.</t>
  </si>
  <si>
    <t xml:space="preserve">Automatic chasing of overdue invoices and applications.</t>
  </si>
  <si>
    <t xml:space="preserve">Top 25 #3</t>
  </si>
  <si>
    <t xml:space="preserve">Cash in faster with no extra admin.</t>
  </si>
  <si>
    <t xml:space="preserve">Next quarter</t>
  </si>
  <si>
    <t xml:space="preserve">Client portal; weekly AI progress updates.</t>
  </si>
  <si>
    <t xml:space="preserve">Top 25 #4, #9</t>
  </si>
  <si>
    <t xml:space="preserve">Differentiator with main contractors and repair clients.</t>
  </si>
  <si>
    <t xml:space="preserve">OpHUB Assistant (ask your data, draft with confirm).</t>
  </si>
  <si>
    <t xml:space="preserve">Top 25 #1</t>
  </si>
  <si>
    <t xml:space="preserve">Where the whole market is heading in 2026.</t>
  </si>
  <si>
    <t xml:space="preserve">Owned plant costing, yard in/out from POs and site leftovers, snags on drawings, CIS journals to Xero.</t>
  </si>
  <si>
    <t xml:space="preserve">P13, P14, P26, Top 25 #15, #17</t>
  </si>
  <si>
    <t xml:space="preserve">Rounds out job costing.</t>
  </si>
  <si>
    <t xml:space="preserve">Yard "Book stock in" can link to a PO. Leftovers back to the yard: not wanted.</t>
  </si>
</sst>
</file>

<file path=xl/styles.xml><?xml version="1.0" encoding="utf-8"?>
<styleSheet xmlns="http://schemas.openxmlformats.org/spreadsheetml/2006/main">
  <numFmts count="2">
    <numFmt numFmtId="164" formatCode="General"/>
    <numFmt numFmtId="165" formatCode="General"/>
  </numFmts>
  <fonts count="16">
    <font>
      <sz val="11"/>
      <color theme="1"/>
      <name val="Calibri"/>
      <family val="2"/>
      <charset val="1"/>
    </font>
    <font>
      <sz val="10"/>
      <name val="Arial"/>
      <family val="0"/>
    </font>
    <font>
      <sz val="10"/>
      <name val="Arial"/>
      <family val="0"/>
    </font>
    <font>
      <sz val="10"/>
      <name val="Arial"/>
      <family val="0"/>
    </font>
    <font>
      <b val="true"/>
      <sz val="16"/>
      <color rgb="FF1F2328"/>
      <name val="Arial"/>
      <family val="0"/>
      <charset val="1"/>
    </font>
    <font>
      <i val="true"/>
      <sz val="10"/>
      <color rgb="FF4B5563"/>
      <name val="Arial"/>
      <family val="0"/>
      <charset val="1"/>
    </font>
    <font>
      <b val="true"/>
      <sz val="12"/>
      <color rgb="FF1F2328"/>
      <name val="Arial"/>
      <family val="0"/>
      <charset val="1"/>
    </font>
    <font>
      <b val="true"/>
      <sz val="10"/>
      <color rgb="FFFFFFFF"/>
      <name val="Arial"/>
      <family val="0"/>
      <charset val="1"/>
    </font>
    <font>
      <b val="true"/>
      <sz val="10"/>
      <color rgb="FFE3262B"/>
      <name val="Arial"/>
      <family val="0"/>
      <charset val="1"/>
    </font>
    <font>
      <sz val="10"/>
      <name val="Arial"/>
      <family val="0"/>
      <charset val="1"/>
    </font>
    <font>
      <sz val="10"/>
      <color rgb="FF0000FF"/>
      <name val="Arial"/>
      <family val="0"/>
      <charset val="1"/>
    </font>
    <font>
      <b val="true"/>
      <sz val="10"/>
      <name val="Arial"/>
      <family val="0"/>
      <charset val="1"/>
    </font>
    <font>
      <i val="true"/>
      <sz val="9"/>
      <color rgb="FF6B7280"/>
      <name val="Arial"/>
      <family val="0"/>
      <charset val="1"/>
    </font>
    <font>
      <sz val="10"/>
      <name val="Arial"/>
      <family val="2"/>
    </font>
    <font>
      <b val="true"/>
      <i val="true"/>
      <sz val="9"/>
      <color rgb="FFB91C1C"/>
      <name val="Arial"/>
      <family val="0"/>
      <charset val="1"/>
    </font>
    <font>
      <sz val="10"/>
      <name val="Noto Sans CJK SC"/>
      <family val="2"/>
    </font>
  </fonts>
  <fills count="3">
    <fill>
      <patternFill patternType="none"/>
    </fill>
    <fill>
      <patternFill patternType="gray125"/>
    </fill>
    <fill>
      <patternFill patternType="solid">
        <fgColor rgb="FFE3262B"/>
        <bgColor rgb="FFB91C1C"/>
      </patternFill>
    </fill>
  </fills>
  <borders count="2">
    <border diagonalUp="false" diagonalDown="false">
      <left/>
      <right/>
      <top/>
      <bottom/>
      <diagonal/>
    </border>
    <border diagonalUp="false" diagonalDown="false">
      <left/>
      <right/>
      <top/>
      <bottom style="thin">
        <color rgb="FFE5E7E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left" vertical="bottom" textRotation="0" wrapText="false" indent="0" shrinkToFit="false"/>
      <protection locked="true" hidden="false"/>
    </xf>
    <xf numFmtId="164" fontId="7" fillId="2" borderId="0" xfId="0" applyFont="true" applyBorder="false" applyAlignment="true" applyProtection="false">
      <alignment horizontal="center"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center" vertical="bottom" textRotation="0" wrapText="true" indent="0" shrinkToFit="false"/>
      <protection locked="true" hidden="false"/>
    </xf>
    <xf numFmtId="165" fontId="11" fillId="0" borderId="1" xfId="0" applyFont="true" applyBorder="true" applyAlignment="true" applyProtection="false">
      <alignment horizontal="center" vertical="bottom" textRotation="0" wrapText="fals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center"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9">
    <dxf>
      <fill>
        <patternFill patternType="solid">
          <fgColor rgb="FFE3262B"/>
          <bgColor rgb="FF000000"/>
        </patternFill>
      </fill>
    </dxf>
    <dxf>
      <fill>
        <patternFill patternType="solid">
          <bgColor rgb="FF000000"/>
        </patternFill>
      </fill>
    </dxf>
    <dxf>
      <fill>
        <patternFill patternType="solid">
          <fgColor rgb="FFFFFFFF"/>
          <bgColor rgb="FF000000"/>
        </patternFill>
      </fill>
    </dxf>
    <dxf>
      <fill>
        <patternFill patternType="solid">
          <fgColor rgb="FFBBF7D0"/>
          <bgColor rgb="FF000000"/>
        </patternFill>
      </fill>
    </dxf>
    <dxf>
      <fill>
        <patternFill patternType="solid">
          <fgColor rgb="FFFEF3C7"/>
          <bgColor rgb="FF000000"/>
        </patternFill>
      </fill>
    </dxf>
    <dxf>
      <fill>
        <patternFill>
          <bgColor rgb="FFFEF3C7"/>
        </patternFill>
      </fill>
    </dxf>
    <dxf>
      <fill>
        <patternFill>
          <bgColor rgb="FFBBF7D0"/>
        </patternFill>
      </fill>
    </dxf>
    <dxf>
      <fill>
        <patternFill patternType="solid">
          <fgColor rgb="FFB91C1C"/>
          <bgColor rgb="FF000000"/>
        </patternFill>
      </fill>
    </dxf>
    <dxf>
      <fill>
        <patternFill patternType="solid">
          <fgColor rgb="FFD1D5DB"/>
          <bgColor rgb="FF000000"/>
        </patternFill>
      </fill>
    </dxf>
    <dxf>
      <fill>
        <patternFill patternType="solid">
          <fgColor rgb="FFF87171"/>
          <bgColor rgb="FF000000"/>
        </patternFill>
      </fill>
    </dxf>
    <dxf>
      <fill>
        <patternFill patternType="solid">
          <fgColor rgb="FFFCD34D"/>
          <bgColor rgb="FF000000"/>
        </patternFill>
      </fill>
    </dxf>
    <dxf>
      <fill>
        <patternFill patternType="solid">
          <fgColor rgb="FFE5E7EB"/>
          <bgColor rgb="FF000000"/>
        </patternFill>
      </fill>
    </dxf>
    <dxf>
      <fill>
        <patternFill patternType="solid">
          <fgColor rgb="FFFCA5A5"/>
          <bgColor rgb="FF000000"/>
        </patternFill>
      </fill>
    </dxf>
    <dxf>
      <fill>
        <patternFill>
          <bgColor rgb="FFB91C1C"/>
        </patternFill>
      </fill>
    </dxf>
    <dxf>
      <fill>
        <patternFill>
          <bgColor rgb="FFF87171"/>
        </patternFill>
      </fill>
    </dxf>
    <dxf>
      <fill>
        <patternFill>
          <bgColor rgb="FFFCD34D"/>
        </patternFill>
      </fill>
    </dxf>
    <dxf>
      <fill>
        <patternFill>
          <bgColor rgb="FFD1D5DB"/>
        </patternFill>
      </fill>
    </dxf>
    <dxf>
      <fill>
        <patternFill>
          <bgColor rgb="FFDBEAFE"/>
        </patternFill>
      </fill>
    </dxf>
    <dxf>
      <fill>
        <patternFill>
          <bgColor rgb="FFE5E7EB"/>
        </patternFill>
      </fill>
    </dxf>
    <dxf>
      <fill>
        <patternFill>
          <bgColor rgb="FFFDBA74"/>
        </patternFill>
      </fill>
    </dxf>
    <dxf>
      <fill>
        <patternFill>
          <bgColor rgb="FFBFDBFE"/>
        </patternFill>
      </fill>
    </dxf>
    <dxf>
      <fill>
        <patternFill>
          <bgColor rgb="FFFCA5A5"/>
        </patternFill>
      </fill>
    </dxf>
    <dxf>
      <fill>
        <patternFill patternType="solid">
          <fgColor rgb="FFDBEAFE"/>
          <bgColor rgb="FF000000"/>
        </patternFill>
      </fill>
    </dxf>
    <dxf>
      <fill>
        <patternFill patternType="solid">
          <fgColor rgb="FFBFDBFE"/>
          <bgColor rgb="FF000000"/>
        </patternFill>
      </fill>
    </dxf>
    <dxf>
      <fill>
        <patternFill patternType="solid">
          <fgColor rgb="FFFDBA74"/>
          <bgColor rgb="FF000000"/>
        </patternFill>
      </fill>
    </dxf>
    <dxf>
      <fill>
        <patternFill patternType="solid">
          <fgColor rgb="FFF3F4F6"/>
          <bgColor rgb="FF000000"/>
        </patternFill>
      </fill>
    </dxf>
    <dxf>
      <fill>
        <patternFill>
          <bgColor rgb="FFF3F4F6"/>
        </patternFill>
      </fill>
    </dxf>
    <dxf>
      <fill>
        <patternFill patternType="solid">
          <fgColor rgb="FFD9F99D"/>
          <bgColor rgb="FF000000"/>
        </patternFill>
      </fill>
    </dxf>
    <dxf>
      <fill>
        <patternFill>
          <bgColor rgb="FFD9F99D"/>
        </patternFill>
      </fill>
    </dxf>
  </dxfs>
  <colors>
    <indexedColors>
      <rgbColor rgb="FF000000"/>
      <rgbColor rgb="FFFFFFFF"/>
      <rgbColor rgb="FFE3262B"/>
      <rgbColor rgb="FF00FF00"/>
      <rgbColor rgb="FF0000FF"/>
      <rgbColor rgb="FFFFFF00"/>
      <rgbColor rgb="FFFF00FF"/>
      <rgbColor rgb="FF00FFFF"/>
      <rgbColor rgb="FF800000"/>
      <rgbColor rgb="FF008000"/>
      <rgbColor rgb="FF000080"/>
      <rgbColor rgb="FF808000"/>
      <rgbColor rgb="FF800080"/>
      <rgbColor rgb="FF008080"/>
      <rgbColor rgb="FFD1D5DB"/>
      <rgbColor rgb="FF808080"/>
      <rgbColor rgb="FF9999FF"/>
      <rgbColor rgb="FF993366"/>
      <rgbColor rgb="FFFEF3C7"/>
      <rgbColor rgb="FFDBEAFE"/>
      <rgbColor rgb="FF660066"/>
      <rgbColor rgb="FFF87171"/>
      <rgbColor rgb="FF0066CC"/>
      <rgbColor rgb="FFBFDBFE"/>
      <rgbColor rgb="FF000080"/>
      <rgbColor rgb="FFFF00FF"/>
      <rgbColor rgb="FFFFFF00"/>
      <rgbColor rgb="FF00FFFF"/>
      <rgbColor rgb="FF800080"/>
      <rgbColor rgb="FF800000"/>
      <rgbColor rgb="FF008080"/>
      <rgbColor rgb="FF0000FF"/>
      <rgbColor rgb="FF00CCFF"/>
      <rgbColor rgb="FFF3F4F6"/>
      <rgbColor rgb="FFBBF7D0"/>
      <rgbColor rgb="FFD9F99D"/>
      <rgbColor rgb="FFE5E7EB"/>
      <rgbColor rgb="FFFCA5A5"/>
      <rgbColor rgb="FFCC99FF"/>
      <rgbColor rgb="FFFDBA74"/>
      <rgbColor rgb="FF3366FF"/>
      <rgbColor rgb="FF33CCCC"/>
      <rgbColor rgb="FF99CC00"/>
      <rgbColor rgb="FFFCD34D"/>
      <rgbColor rgb="FFF59E0B"/>
      <rgbColor rgb="FFFF6600"/>
      <rgbColor rgb="FF6B7280"/>
      <rgbColor rgb="FF9CA3AF"/>
      <rgbColor rgb="FF003366"/>
      <rgbColor rgb="FF339966"/>
      <rgbColor rgb="FF003300"/>
      <rgbColor rgb="FF333300"/>
      <rgbColor rgb="FFB91C1C"/>
      <rgbColor rgb="FF993366"/>
      <rgbColor rgb="FF4B5563"/>
      <rgbColor rgb="FF1F2328"/>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_rels/sheet9.xml.rels><?xml version="1.0" encoding="UTF-8"?>
<Relationships xmlns="http://schemas.openxmlformats.org/package/2006/relationships"><Relationship Id="rId1" Type="http://schemas.openxmlformats.org/officeDocument/2006/relationships/drawing" Target="../drawings/drawing8.xml"/>
</Relationships>
</file>

<file path=xl/worksheets/_rels/sheet10.xml.rels><?xml version="1.0" encoding="UTF-8"?>
<Relationships xmlns="http://schemas.openxmlformats.org/package/2006/relationships"><Relationship Id="rId1" Type="http://schemas.openxmlformats.org/officeDocument/2006/relationships/drawing" Target="../drawings/drawing9.xml"/>
</Relationships>
</file>

<file path=xl/worksheets/_rels/sheet11.xml.rels><?xml version="1.0" encoding="UTF-8"?>
<Relationships xmlns="http://schemas.openxmlformats.org/package/2006/relationships"><Relationship Id="rId1" Type="http://schemas.openxmlformats.org/officeDocument/2006/relationships/drawing" Target="../drawings/drawing10.xml"/>
</Relationships>
</file>

<file path=xl/worksheets/_rels/sheet12.xml.rels><?xml version="1.0" encoding="UTF-8"?>
<Relationships xmlns="http://schemas.openxmlformats.org/package/2006/relationships"><Relationship Id="rId1" Type="http://schemas.openxmlformats.org/officeDocument/2006/relationships/drawing" Target="../drawings/drawing1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3262B"/>
    <pageSetUpPr fitToPage="true"/>
  </sheetPr>
  <dimension ref="A1:D56"/>
  <sheetViews>
    <sheetView showFormulas="false" showGridLines="true" showRowColHeaders="true" showZeros="true" rightToLeft="false" tabSelected="tru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6"/>
    <col collapsed="false" customWidth="true" hidden="false" outlineLevel="0" max="3" min="3" style="0" width="14"/>
    <col collapsed="false" customWidth="true" hidden="false" outlineLevel="0" max="4" min="4" style="0" width="80"/>
  </cols>
  <sheetData>
    <row r="1" customFormat="false" ht="19.7" hidden="false" customHeight="false" outlineLevel="0" collapsed="false">
      <c r="A1" s="1" t="s">
        <v>0</v>
      </c>
    </row>
    <row r="2" customFormat="false" ht="30" hidden="false" customHeight="true" outlineLevel="0" collapsed="false">
      <c r="A2" s="2" t="s">
        <v>1</v>
      </c>
      <c r="B2" s="2"/>
      <c r="C2" s="2"/>
      <c r="D2" s="2"/>
    </row>
    <row r="4" customFormat="false" ht="15" hidden="false" customHeight="false" outlineLevel="0" collapsed="false">
      <c r="A4" s="3" t="s">
        <v>2</v>
      </c>
    </row>
    <row r="5" customFormat="false" ht="15" hidden="false" customHeight="false" outlineLevel="0" collapsed="false">
      <c r="A5" s="4"/>
      <c r="B5" s="5" t="s">
        <v>3</v>
      </c>
      <c r="C5" s="5" t="s">
        <v>4</v>
      </c>
      <c r="D5" s="4" t="s">
        <v>5</v>
      </c>
    </row>
    <row r="6" customFormat="false" ht="15" hidden="false" customHeight="false" outlineLevel="0" collapsed="false">
      <c r="A6" s="6" t="s">
        <v>6</v>
      </c>
    </row>
    <row r="7" customFormat="false" ht="15" hidden="false" customHeight="false" outlineLevel="0" collapsed="false">
      <c r="A7" s="7" t="s">
        <v>7</v>
      </c>
      <c r="B7" s="8" t="n">
        <v>52</v>
      </c>
      <c r="C7" s="9" t="n">
        <f aca="false">COUNTIF('Bugs Now'!$G$5:$G$141,"Fixed")</f>
        <v>128</v>
      </c>
      <c r="D7" s="10" t="s">
        <v>8</v>
      </c>
    </row>
    <row r="8" customFormat="false" ht="15" hidden="false" customHeight="false" outlineLevel="0" collapsed="false">
      <c r="A8" s="7" t="s">
        <v>9</v>
      </c>
      <c r="B8" s="8" t="n">
        <v>8</v>
      </c>
      <c r="C8" s="9" t="n">
        <f aca="false">COUNTIF('Bugs Now'!$G$5:$G$141,"Partly fixed")</f>
        <v>4</v>
      </c>
      <c r="D8" s="10" t="s">
        <v>10</v>
      </c>
    </row>
    <row r="9" customFormat="false" ht="15" hidden="false" customHeight="false" outlineLevel="0" collapsed="false">
      <c r="A9" s="7" t="s">
        <v>11</v>
      </c>
      <c r="B9" s="8" t="n">
        <v>73</v>
      </c>
      <c r="C9" s="9" t="n">
        <f aca="false">COUNTIF('Bugs Now'!$G$5:$G$141,"Open")</f>
        <v>1</v>
      </c>
      <c r="D9" s="10" t="s">
        <v>12</v>
      </c>
    </row>
    <row r="10" customFormat="false" ht="15" hidden="false" customHeight="false" outlineLevel="0" collapsed="false">
      <c r="A10" s="7" t="s">
        <v>13</v>
      </c>
      <c r="B10" s="8" t="n">
        <v>4</v>
      </c>
      <c r="C10" s="9" t="n">
        <f aca="false">COUNTIF('Bugs Now'!$G$5:$G$141,"Was wrong")</f>
        <v>4</v>
      </c>
      <c r="D10" s="10"/>
    </row>
    <row r="11" customFormat="false" ht="15" hidden="false" customHeight="false" outlineLevel="0" collapsed="false">
      <c r="A11" s="7" t="s">
        <v>14</v>
      </c>
      <c r="B11" s="8" t="n">
        <v>2</v>
      </c>
      <c r="C11" s="9" t="n">
        <f aca="false">COUNTIFS('Bugs Now'!$G$5:$G$141,"Open",'Bugs Now'!$B$5:$B$141,"Critical")+COUNTIFS('Bugs Now'!$G$5:$G$141,"Open",'Bugs Now'!$B$5:$B$141,"High")+COUNTIFS('Bugs Now'!$G$5:$G$141,"Partly fixed",'Bugs Now'!$B$5:$B$141,"Critical")+COUNTIFS('Bugs Now'!$G$5:$G$141,"Partly fixed",'Bugs Now'!$B$5:$B$141,"High")</f>
        <v>0</v>
      </c>
      <c r="D11" s="10"/>
    </row>
    <row r="12" customFormat="false" ht="15" hidden="false" customHeight="false" outlineLevel="0" collapsed="false">
      <c r="A12" s="6" t="s">
        <v>15</v>
      </c>
    </row>
    <row r="13" customFormat="false" ht="15" hidden="false" customHeight="false" outlineLevel="0" collapsed="false">
      <c r="A13" s="7" t="s">
        <v>7</v>
      </c>
      <c r="B13" s="8" t="n">
        <v>2</v>
      </c>
      <c r="C13" s="9" t="n">
        <f aca="false">COUNTIF('Security Now'!$F$6:$F$38,"Fixed")</f>
        <v>27</v>
      </c>
      <c r="D13" s="10" t="s">
        <v>16</v>
      </c>
    </row>
    <row r="14" customFormat="false" ht="15" hidden="false" customHeight="false" outlineLevel="0" collapsed="false">
      <c r="A14" s="7" t="s">
        <v>9</v>
      </c>
      <c r="B14" s="8" t="n">
        <v>1</v>
      </c>
      <c r="C14" s="9" t="n">
        <f aca="false">COUNTIF('Security Now'!$F$6:$F$38,"Partly fixed")</f>
        <v>4</v>
      </c>
      <c r="D14" s="10" t="s">
        <v>17</v>
      </c>
    </row>
    <row r="15" customFormat="false" ht="15" hidden="false" customHeight="false" outlineLevel="0" collapsed="false">
      <c r="A15" s="7" t="s">
        <v>11</v>
      </c>
      <c r="B15" s="8" t="n">
        <v>28</v>
      </c>
      <c r="C15" s="9" t="n">
        <f aca="false">COUNTIF('Security Now'!$F$6:$F$38,"Open")</f>
        <v>0</v>
      </c>
      <c r="D15" s="10"/>
    </row>
    <row r="16" customFormat="false" ht="15" hidden="false" customHeight="false" outlineLevel="0" collapsed="false">
      <c r="A16" s="7" t="s">
        <v>18</v>
      </c>
      <c r="B16" s="8" t="n">
        <v>2</v>
      </c>
      <c r="C16" s="9" t="n">
        <f aca="false">COUNTIF('Security Now'!$F$6:$F$38,"Info*")</f>
        <v>2</v>
      </c>
      <c r="D16" s="10"/>
    </row>
    <row r="17" customFormat="false" ht="15" hidden="false" customHeight="false" outlineLevel="0" collapsed="false">
      <c r="A17" s="7" t="s">
        <v>14</v>
      </c>
      <c r="B17" s="8" t="n">
        <v>6</v>
      </c>
      <c r="C17" s="9" t="n">
        <f aca="false">COUNTIFS('Security Now'!$F$6:$F$38,"Open",'Security Now'!$B$6:$B$38,"Critical")+COUNTIFS('Security Now'!$F$6:$F$38,"Open",'Security Now'!$B$6:$B$38,"High")+COUNTIFS('Security Now'!$F$6:$F$38,"Partly fixed",'Security Now'!$B$6:$B$38,"Critical")+COUNTIFS('Security Now'!$F$6:$F$38,"Partly fixed",'Security Now'!$B$6:$B$38,"High")</f>
        <v>2</v>
      </c>
      <c r="D17" s="10" t="s">
        <v>19</v>
      </c>
    </row>
    <row r="18" customFormat="false" ht="15" hidden="false" customHeight="false" outlineLevel="0" collapsed="false">
      <c r="A18" s="6" t="s">
        <v>20</v>
      </c>
    </row>
    <row r="19" customFormat="false" ht="23.85" hidden="false" customHeight="false" outlineLevel="0" collapsed="false">
      <c r="A19" s="7" t="s">
        <v>7</v>
      </c>
      <c r="B19" s="8" t="s">
        <v>21</v>
      </c>
      <c r="C19" s="9" t="n">
        <f aca="false">COUNTIF('New Issues'!$G$5:$G$41,"Fixed")</f>
        <v>35</v>
      </c>
      <c r="D19" s="10"/>
    </row>
    <row r="20" customFormat="false" ht="15" hidden="false" customHeight="false" outlineLevel="0" collapsed="false">
      <c r="A20" s="7" t="s">
        <v>9</v>
      </c>
      <c r="B20" s="8" t="n">
        <v>0</v>
      </c>
      <c r="C20" s="9" t="n">
        <f aca="false">COUNTIF('New Issues'!$G$5:$G$41,"Partly fixed")</f>
        <v>1</v>
      </c>
      <c r="D20" s="10" t="s">
        <v>22</v>
      </c>
    </row>
    <row r="21" customFormat="false" ht="15" hidden="false" customHeight="false" outlineLevel="0" collapsed="false">
      <c r="A21" s="7" t="s">
        <v>11</v>
      </c>
      <c r="B21" s="8" t="n">
        <v>15</v>
      </c>
      <c r="C21" s="9" t="n">
        <f aca="false">COUNTIF('New Issues'!$G$5:$G$41,"Open")</f>
        <v>1</v>
      </c>
      <c r="D21" s="10" t="s">
        <v>23</v>
      </c>
    </row>
    <row r="22" customFormat="false" ht="15" hidden="false" customHeight="false" outlineLevel="0" collapsed="false">
      <c r="A22" s="7" t="s">
        <v>24</v>
      </c>
      <c r="B22" s="8" t="n">
        <v>3</v>
      </c>
      <c r="C22" s="9" t="n">
        <f aca="false">COUNTIF('New Issues'!$G$5:$G$41,"Andy to decide")</f>
        <v>0</v>
      </c>
      <c r="D22" s="10" t="s">
        <v>25</v>
      </c>
    </row>
    <row r="23" customFormat="false" ht="15" hidden="false" customHeight="false" outlineLevel="0" collapsed="false">
      <c r="A23" s="7" t="s">
        <v>26</v>
      </c>
      <c r="B23" s="8" t="n">
        <v>3</v>
      </c>
      <c r="C23" s="9" t="n">
        <f aca="false">COUNTIF('New Issues'!$G$5:$G$41,"Needs check")</f>
        <v>0</v>
      </c>
      <c r="D23" s="10"/>
    </row>
    <row r="24" customFormat="false" ht="15" hidden="false" customHeight="false" outlineLevel="0" collapsed="false">
      <c r="A24" s="6" t="s">
        <v>27</v>
      </c>
    </row>
    <row r="25" customFormat="false" ht="15" hidden="false" customHeight="false" outlineLevel="0" collapsed="false">
      <c r="A25" s="7" t="s">
        <v>28</v>
      </c>
      <c r="B25" s="8" t="n">
        <v>30</v>
      </c>
      <c r="C25" s="9" t="n">
        <f aca="false">COUNTIF('Finance-Projects Map v3'!$J$5:$J$92,"Working")</f>
        <v>40</v>
      </c>
      <c r="D25" s="10" t="s">
        <v>29</v>
      </c>
    </row>
    <row r="26" customFormat="false" ht="15" hidden="false" customHeight="false" outlineLevel="0" collapsed="false">
      <c r="A26" s="7" t="s">
        <v>30</v>
      </c>
      <c r="B26" s="8" t="n">
        <v>19</v>
      </c>
      <c r="C26" s="9" t="n">
        <f aca="false">COUNTIF('Finance-Projects Map v3'!$J$5:$J$92,"Partial")</f>
        <v>20</v>
      </c>
      <c r="D26" s="10"/>
    </row>
    <row r="27" customFormat="false" ht="15" hidden="false" customHeight="false" outlineLevel="0" collapsed="false">
      <c r="A27" s="7" t="s">
        <v>31</v>
      </c>
      <c r="B27" s="8" t="n">
        <v>4</v>
      </c>
      <c r="C27" s="9" t="n">
        <f aca="false">COUNTIF('Finance-Projects Map v3'!$J$5:$J$92,"Broken")</f>
        <v>4</v>
      </c>
      <c r="D27" s="10"/>
    </row>
    <row r="28" customFormat="false" ht="15" hidden="false" customHeight="false" outlineLevel="0" collapsed="false">
      <c r="A28" s="7" t="s">
        <v>32</v>
      </c>
      <c r="B28" s="8" t="n">
        <v>29</v>
      </c>
      <c r="C28" s="9" t="n">
        <f aca="false">COUNTIF('Finance-Projects Map v3'!$J$5:$J$92,"Missing")</f>
        <v>18</v>
      </c>
      <c r="D28" s="10" t="s">
        <v>33</v>
      </c>
    </row>
    <row r="29" customFormat="false" ht="15" hidden="false" customHeight="false" outlineLevel="0" collapsed="false">
      <c r="A29" s="7" t="s">
        <v>26</v>
      </c>
      <c r="B29" s="8" t="n">
        <v>6</v>
      </c>
      <c r="C29" s="9" t="n">
        <f aca="false">COUNTIF('Finance-Projects Map v3'!$J$5:$J$92,"Needs check")</f>
        <v>5</v>
      </c>
      <c r="D29" s="10"/>
    </row>
    <row r="30" customFormat="false" ht="15" hidden="false" customHeight="false" outlineLevel="0" collapsed="false">
      <c r="A30" s="7" t="s">
        <v>34</v>
      </c>
      <c r="B30" s="8" t="n">
        <v>0</v>
      </c>
      <c r="C30" s="9" t="n">
        <f aca="false">COUNTIF('Finance-Projects Map v3'!$J$5:$J$92,"Not needed")</f>
        <v>1</v>
      </c>
      <c r="D30" s="10" t="s">
        <v>35</v>
      </c>
    </row>
    <row r="31" customFormat="false" ht="15" hidden="false" customHeight="false" outlineLevel="0" collapsed="false">
      <c r="A31" s="6" t="s">
        <v>36</v>
      </c>
    </row>
    <row r="32" customFormat="false" ht="15" hidden="false" customHeight="false" outlineLevel="0" collapsed="false">
      <c r="A32" s="7" t="s">
        <v>37</v>
      </c>
      <c r="B32" s="8" t="s">
        <v>38</v>
      </c>
      <c r="C32" s="9" t="n">
        <f aca="false">COUNTA('Still to do'!$B$5:$B$36)</f>
        <v>32</v>
      </c>
      <c r="D32" s="10"/>
    </row>
    <row r="33" customFormat="false" ht="15" hidden="false" customHeight="false" outlineLevel="0" collapsed="false">
      <c r="A33" s="7" t="s">
        <v>39</v>
      </c>
      <c r="B33" s="8" t="s">
        <v>38</v>
      </c>
      <c r="C33" s="9" t="n">
        <f aca="false">COUNTIF('Still to do'!$D$5:$D$36,"You (Andy)")</f>
        <v>5</v>
      </c>
      <c r="D33" s="10" t="s">
        <v>40</v>
      </c>
    </row>
    <row r="34" customFormat="false" ht="15" hidden="false" customHeight="false" outlineLevel="0" collapsed="false">
      <c r="A34" s="11" t="s">
        <v>41</v>
      </c>
    </row>
    <row r="36" customFormat="false" ht="15" hidden="false" customHeight="false" outlineLevel="0" collapsed="false">
      <c r="A36" s="3" t="s">
        <v>42</v>
      </c>
    </row>
    <row r="37" customFormat="false" ht="30" hidden="false" customHeight="true" outlineLevel="0" collapsed="false">
      <c r="A37" s="12" t="s">
        <v>43</v>
      </c>
      <c r="B37" s="13" t="s">
        <v>44</v>
      </c>
      <c r="C37" s="13"/>
      <c r="D37" s="13"/>
    </row>
    <row r="38" customFormat="false" ht="30" hidden="false" customHeight="true" outlineLevel="0" collapsed="false">
      <c r="A38" s="12" t="s">
        <v>45</v>
      </c>
      <c r="B38" s="13" t="s">
        <v>46</v>
      </c>
      <c r="C38" s="13"/>
      <c r="D38" s="13"/>
    </row>
    <row r="39" customFormat="false" ht="30" hidden="false" customHeight="true" outlineLevel="0" collapsed="false">
      <c r="A39" s="12" t="s">
        <v>47</v>
      </c>
      <c r="B39" s="13" t="s">
        <v>48</v>
      </c>
      <c r="C39" s="13"/>
      <c r="D39" s="13"/>
    </row>
    <row r="41" customFormat="false" ht="15" hidden="false" customHeight="false" outlineLevel="0" collapsed="false">
      <c r="A41" s="3" t="s">
        <v>49</v>
      </c>
    </row>
    <row r="42" customFormat="false" ht="15" hidden="false" customHeight="true" outlineLevel="0" collapsed="false">
      <c r="A42" s="12" t="s">
        <v>50</v>
      </c>
      <c r="B42" s="13" t="s">
        <v>51</v>
      </c>
      <c r="C42" s="13"/>
      <c r="D42" s="13"/>
    </row>
    <row r="43" customFormat="false" ht="15" hidden="false" customHeight="true" outlineLevel="0" collapsed="false">
      <c r="A43" s="12" t="s">
        <v>52</v>
      </c>
      <c r="B43" s="13" t="s">
        <v>53</v>
      </c>
      <c r="C43" s="13"/>
      <c r="D43" s="13"/>
    </row>
    <row r="44" customFormat="false" ht="15" hidden="false" customHeight="true" outlineLevel="0" collapsed="false">
      <c r="A44" s="12" t="s">
        <v>54</v>
      </c>
      <c r="B44" s="13" t="s">
        <v>55</v>
      </c>
      <c r="C44" s="13"/>
      <c r="D44" s="13"/>
    </row>
    <row r="45" customFormat="false" ht="15" hidden="false" customHeight="true" outlineLevel="0" collapsed="false">
      <c r="A45" s="12" t="s">
        <v>56</v>
      </c>
      <c r="B45" s="13" t="s">
        <v>57</v>
      </c>
      <c r="C45" s="13"/>
      <c r="D45" s="13"/>
    </row>
    <row r="46" customFormat="false" ht="27.75" hidden="false" customHeight="true" outlineLevel="0" collapsed="false">
      <c r="A46" s="12" t="s">
        <v>58</v>
      </c>
      <c r="B46" s="13" t="s">
        <v>59</v>
      </c>
      <c r="C46" s="13"/>
      <c r="D46" s="13"/>
    </row>
    <row r="48" customFormat="false" ht="15" hidden="false" customHeight="false" outlineLevel="0" collapsed="false">
      <c r="A48" s="3" t="s">
        <v>60</v>
      </c>
    </row>
    <row r="49" customFormat="false" ht="15" hidden="false" customHeight="true" outlineLevel="0" collapsed="false">
      <c r="A49" s="12" t="s">
        <v>61</v>
      </c>
      <c r="B49" s="13" t="s">
        <v>62</v>
      </c>
      <c r="C49" s="13"/>
      <c r="D49" s="13"/>
    </row>
    <row r="50" customFormat="false" ht="15" hidden="false" customHeight="true" outlineLevel="0" collapsed="false">
      <c r="A50" s="12" t="s">
        <v>63</v>
      </c>
      <c r="B50" s="13" t="s">
        <v>64</v>
      </c>
      <c r="C50" s="13"/>
      <c r="D50" s="13"/>
    </row>
    <row r="51" customFormat="false" ht="15" hidden="false" customHeight="true" outlineLevel="0" collapsed="false">
      <c r="A51" s="12" t="s">
        <v>65</v>
      </c>
      <c r="B51" s="13" t="s">
        <v>66</v>
      </c>
      <c r="C51" s="13"/>
      <c r="D51" s="13"/>
    </row>
    <row r="52" customFormat="false" ht="15" hidden="false" customHeight="true" outlineLevel="0" collapsed="false">
      <c r="A52" s="12" t="s">
        <v>67</v>
      </c>
      <c r="B52" s="13" t="s">
        <v>68</v>
      </c>
      <c r="C52" s="13"/>
      <c r="D52" s="13"/>
    </row>
    <row r="53" customFormat="false" ht="15" hidden="false" customHeight="true" outlineLevel="0" collapsed="false">
      <c r="A53" s="12" t="s">
        <v>36</v>
      </c>
      <c r="B53" s="13" t="s">
        <v>69</v>
      </c>
      <c r="C53" s="13"/>
      <c r="D53" s="13"/>
    </row>
    <row r="54" customFormat="false" ht="15" hidden="false" customHeight="true" outlineLevel="0" collapsed="false">
      <c r="A54" s="12" t="s">
        <v>70</v>
      </c>
      <c r="B54" s="13" t="s">
        <v>71</v>
      </c>
      <c r="C54" s="13"/>
      <c r="D54" s="13"/>
    </row>
    <row r="55" customFormat="false" ht="15" hidden="false" customHeight="true" outlineLevel="0" collapsed="false">
      <c r="A55" s="12" t="s">
        <v>72</v>
      </c>
      <c r="B55" s="13" t="s">
        <v>73</v>
      </c>
      <c r="C55" s="13"/>
      <c r="D55" s="13"/>
    </row>
    <row r="56" customFormat="false" ht="15" hidden="false" customHeight="true" outlineLevel="0" collapsed="false">
      <c r="A56" s="12" t="s">
        <v>74</v>
      </c>
      <c r="B56" s="13" t="s">
        <v>75</v>
      </c>
      <c r="C56" s="13"/>
      <c r="D56" s="13"/>
    </row>
  </sheetData>
  <mergeCells count="17">
    <mergeCell ref="A2:D2"/>
    <mergeCell ref="B37:D37"/>
    <mergeCell ref="B38:D38"/>
    <mergeCell ref="B39:D39"/>
    <mergeCell ref="B42:D42"/>
    <mergeCell ref="B43:D43"/>
    <mergeCell ref="B44:D44"/>
    <mergeCell ref="B45:D45"/>
    <mergeCell ref="B46:D46"/>
    <mergeCell ref="B49:D49"/>
    <mergeCell ref="B50:D50"/>
    <mergeCell ref="B51:D51"/>
    <mergeCell ref="B52:D52"/>
    <mergeCell ref="B53:D53"/>
    <mergeCell ref="B54:D54"/>
    <mergeCell ref="B55:D55"/>
    <mergeCell ref="B56:D56"/>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3262B"/>
    <pageSetUpPr fitToPage="false"/>
  </sheetPr>
  <dimension ref="A1:F43"/>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2"/>
    <col collapsed="false" customWidth="true" hidden="false" outlineLevel="0" max="3" min="3" style="0" width="80"/>
    <col collapsed="false" customWidth="true" hidden="false" outlineLevel="0" max="4" min="4" style="0" width="34"/>
    <col collapsed="false" customWidth="true" hidden="false" outlineLevel="0" max="5" min="5" style="0" width="26"/>
    <col collapsed="false" customWidth="true" hidden="false" outlineLevel="0" max="6" min="6" style="0" width="40"/>
  </cols>
  <sheetData>
    <row r="1" customFormat="false" ht="19.7" hidden="false" customHeight="false" outlineLevel="0" collapsed="false">
      <c r="A1" s="1" t="s">
        <v>76</v>
      </c>
    </row>
    <row r="2" customFormat="false" ht="15" hidden="false" customHeight="false" outlineLevel="0" collapsed="false">
      <c r="A2" s="11" t="s">
        <v>77</v>
      </c>
    </row>
    <row r="4" customFormat="false" ht="27.75" hidden="false" customHeight="true" outlineLevel="0" collapsed="false">
      <c r="A4" s="14" t="s">
        <v>78</v>
      </c>
      <c r="B4" s="14" t="s">
        <v>79</v>
      </c>
      <c r="C4" s="14" t="s">
        <v>80</v>
      </c>
      <c r="D4" s="14" t="s">
        <v>81</v>
      </c>
      <c r="E4" s="14" t="s">
        <v>82</v>
      </c>
      <c r="F4" s="14" t="s">
        <v>83</v>
      </c>
    </row>
    <row r="5" customFormat="false" ht="42" hidden="false" customHeight="true" outlineLevel="0" collapsed="false">
      <c r="A5" s="15" t="s">
        <v>84</v>
      </c>
      <c r="B5" s="15" t="s">
        <v>85</v>
      </c>
      <c r="C5" s="15" t="s">
        <v>86</v>
      </c>
      <c r="D5" s="15" t="s">
        <v>87</v>
      </c>
      <c r="E5" s="15" t="s">
        <v>88</v>
      </c>
      <c r="F5" s="15" t="s">
        <v>89</v>
      </c>
    </row>
    <row r="6" customFormat="false" ht="28.5" hidden="false" customHeight="true" outlineLevel="0" collapsed="false">
      <c r="A6" s="15" t="s">
        <v>84</v>
      </c>
      <c r="B6" s="15" t="s">
        <v>90</v>
      </c>
      <c r="C6" s="15" t="s">
        <v>91</v>
      </c>
      <c r="D6" s="15" t="s">
        <v>92</v>
      </c>
      <c r="E6" s="15" t="s">
        <v>88</v>
      </c>
      <c r="F6" s="15" t="s">
        <v>93</v>
      </c>
    </row>
    <row r="7" customFormat="false" ht="28.5" hidden="false" customHeight="true" outlineLevel="0" collapsed="false">
      <c r="A7" s="15" t="s">
        <v>84</v>
      </c>
      <c r="B7" s="15" t="s">
        <v>90</v>
      </c>
      <c r="C7" s="15" t="s">
        <v>94</v>
      </c>
      <c r="D7" s="15" t="s">
        <v>92</v>
      </c>
      <c r="E7" s="15" t="s">
        <v>88</v>
      </c>
      <c r="F7" s="15" t="s">
        <v>95</v>
      </c>
    </row>
    <row r="8" customFormat="false" ht="28.5" hidden="false" customHeight="true" outlineLevel="0" collapsed="false">
      <c r="A8" s="15" t="s">
        <v>84</v>
      </c>
      <c r="B8" s="15" t="s">
        <v>96</v>
      </c>
      <c r="C8" s="15" t="s">
        <v>97</v>
      </c>
      <c r="D8" s="15" t="s">
        <v>98</v>
      </c>
      <c r="E8" s="15" t="s">
        <v>88</v>
      </c>
      <c r="F8" s="15" t="s">
        <v>99</v>
      </c>
    </row>
    <row r="9" customFormat="false" ht="28.5" hidden="false" customHeight="true" outlineLevel="0" collapsed="false">
      <c r="A9" s="15" t="s">
        <v>84</v>
      </c>
      <c r="B9" s="15" t="s">
        <v>100</v>
      </c>
      <c r="C9" s="15" t="s">
        <v>101</v>
      </c>
      <c r="D9" s="15" t="s">
        <v>102</v>
      </c>
      <c r="E9" s="15" t="s">
        <v>103</v>
      </c>
      <c r="F9" s="15" t="s">
        <v>104</v>
      </c>
    </row>
    <row r="10" customFormat="false" ht="42" hidden="false" customHeight="true" outlineLevel="0" collapsed="false">
      <c r="A10" s="15" t="s">
        <v>84</v>
      </c>
      <c r="B10" s="15" t="s">
        <v>105</v>
      </c>
      <c r="C10" s="15" t="s">
        <v>106</v>
      </c>
      <c r="D10" s="15" t="s">
        <v>102</v>
      </c>
      <c r="E10" s="15" t="s">
        <v>103</v>
      </c>
      <c r="F10" s="15" t="s">
        <v>107</v>
      </c>
    </row>
    <row r="11" customFormat="false" ht="28.5" hidden="false" customHeight="true" outlineLevel="0" collapsed="false">
      <c r="A11" s="15" t="s">
        <v>84</v>
      </c>
      <c r="B11" s="15" t="s">
        <v>105</v>
      </c>
      <c r="C11" s="15" t="s">
        <v>108</v>
      </c>
      <c r="D11" s="15" t="s">
        <v>102</v>
      </c>
      <c r="E11" s="15" t="s">
        <v>103</v>
      </c>
      <c r="F11" s="15" t="s">
        <v>109</v>
      </c>
    </row>
    <row r="12" customFormat="false" ht="54.75" hidden="false" customHeight="true" outlineLevel="0" collapsed="false">
      <c r="A12" s="15" t="s">
        <v>110</v>
      </c>
      <c r="B12" s="15" t="s">
        <v>105</v>
      </c>
      <c r="C12" s="15" t="s">
        <v>111</v>
      </c>
      <c r="D12" s="15" t="s">
        <v>102</v>
      </c>
      <c r="E12" s="15" t="s">
        <v>103</v>
      </c>
      <c r="F12" s="15" t="s">
        <v>112</v>
      </c>
    </row>
    <row r="13" customFormat="false" ht="42" hidden="false" customHeight="true" outlineLevel="0" collapsed="false">
      <c r="A13" s="15" t="s">
        <v>84</v>
      </c>
      <c r="B13" s="15" t="s">
        <v>113</v>
      </c>
      <c r="C13" s="15" t="s">
        <v>114</v>
      </c>
      <c r="D13" s="15" t="s">
        <v>102</v>
      </c>
      <c r="E13" s="15" t="s">
        <v>115</v>
      </c>
      <c r="F13" s="15" t="s">
        <v>116</v>
      </c>
    </row>
    <row r="14" customFormat="false" ht="28.5" hidden="false" customHeight="true" outlineLevel="0" collapsed="false">
      <c r="A14" s="15" t="s">
        <v>84</v>
      </c>
      <c r="B14" s="15" t="s">
        <v>117</v>
      </c>
      <c r="C14" s="15" t="s">
        <v>118</v>
      </c>
      <c r="D14" s="15" t="s">
        <v>119</v>
      </c>
      <c r="E14" s="15" t="s">
        <v>88</v>
      </c>
      <c r="F14" s="15" t="s">
        <v>120</v>
      </c>
    </row>
    <row r="15" customFormat="false" ht="28.5" hidden="false" customHeight="true" outlineLevel="0" collapsed="false">
      <c r="A15" s="15" t="s">
        <v>84</v>
      </c>
      <c r="B15" s="15" t="s">
        <v>121</v>
      </c>
      <c r="C15" s="15" t="s">
        <v>122</v>
      </c>
      <c r="D15" s="15" t="s">
        <v>123</v>
      </c>
      <c r="E15" s="15" t="s">
        <v>88</v>
      </c>
      <c r="F15" s="15" t="s">
        <v>124</v>
      </c>
    </row>
    <row r="16" customFormat="false" ht="28.5" hidden="false" customHeight="true" outlineLevel="0" collapsed="false">
      <c r="A16" s="15" t="s">
        <v>84</v>
      </c>
      <c r="B16" s="15" t="s">
        <v>125</v>
      </c>
      <c r="C16" s="15" t="s">
        <v>126</v>
      </c>
      <c r="D16" s="15" t="s">
        <v>127</v>
      </c>
      <c r="E16" s="15" t="s">
        <v>88</v>
      </c>
      <c r="F16" s="15" t="s">
        <v>128</v>
      </c>
    </row>
    <row r="17" customFormat="false" ht="28.5" hidden="false" customHeight="true" outlineLevel="0" collapsed="false">
      <c r="A17" s="15" t="s">
        <v>84</v>
      </c>
      <c r="B17" s="15" t="s">
        <v>129</v>
      </c>
      <c r="C17" s="15" t="s">
        <v>130</v>
      </c>
      <c r="D17" s="15" t="s">
        <v>131</v>
      </c>
      <c r="E17" s="15" t="s">
        <v>88</v>
      </c>
      <c r="F17" s="15" t="s">
        <v>132</v>
      </c>
    </row>
    <row r="18" customFormat="false" ht="15.75" hidden="false" customHeight="true" outlineLevel="0" collapsed="false">
      <c r="A18" s="15" t="s">
        <v>84</v>
      </c>
      <c r="B18" s="15" t="s">
        <v>129</v>
      </c>
      <c r="C18" s="15" t="s">
        <v>133</v>
      </c>
      <c r="D18" s="15" t="s">
        <v>134</v>
      </c>
      <c r="E18" s="15" t="s">
        <v>88</v>
      </c>
      <c r="F18" s="15" t="s">
        <v>135</v>
      </c>
    </row>
    <row r="19" customFormat="false" ht="28.5" hidden="false" customHeight="true" outlineLevel="0" collapsed="false">
      <c r="A19" s="15" t="s">
        <v>84</v>
      </c>
      <c r="B19" s="15" t="s">
        <v>129</v>
      </c>
      <c r="C19" s="15" t="s">
        <v>136</v>
      </c>
      <c r="D19" s="15" t="s">
        <v>137</v>
      </c>
      <c r="E19" s="15" t="s">
        <v>88</v>
      </c>
      <c r="F19" s="15" t="s">
        <v>135</v>
      </c>
    </row>
    <row r="20" customFormat="false" ht="15.75" hidden="false" customHeight="true" outlineLevel="0" collapsed="false">
      <c r="A20" s="15" t="s">
        <v>84</v>
      </c>
      <c r="B20" s="15" t="s">
        <v>129</v>
      </c>
      <c r="C20" s="15" t="s">
        <v>138</v>
      </c>
      <c r="D20" s="15" t="s">
        <v>139</v>
      </c>
      <c r="E20" s="15" t="s">
        <v>88</v>
      </c>
      <c r="F20" s="15" t="s">
        <v>140</v>
      </c>
    </row>
    <row r="21" customFormat="false" ht="15.75" hidden="false" customHeight="true" outlineLevel="0" collapsed="false">
      <c r="A21" s="15" t="s">
        <v>84</v>
      </c>
      <c r="B21" s="15" t="s">
        <v>129</v>
      </c>
      <c r="C21" s="15" t="s">
        <v>141</v>
      </c>
      <c r="D21" s="15" t="s">
        <v>142</v>
      </c>
      <c r="E21" s="15" t="s">
        <v>88</v>
      </c>
      <c r="F21" s="15" t="s">
        <v>143</v>
      </c>
    </row>
    <row r="22" customFormat="false" ht="15.75" hidden="false" customHeight="true" outlineLevel="0" collapsed="false">
      <c r="A22" s="15" t="s">
        <v>84</v>
      </c>
      <c r="B22" s="15" t="s">
        <v>129</v>
      </c>
      <c r="C22" s="15" t="s">
        <v>144</v>
      </c>
      <c r="D22" s="15" t="s">
        <v>145</v>
      </c>
      <c r="E22" s="15" t="s">
        <v>88</v>
      </c>
      <c r="F22" s="15" t="s">
        <v>146</v>
      </c>
    </row>
    <row r="23" customFormat="false" ht="28.5" hidden="false" customHeight="true" outlineLevel="0" collapsed="false">
      <c r="A23" s="15" t="s">
        <v>84</v>
      </c>
      <c r="B23" s="15" t="s">
        <v>129</v>
      </c>
      <c r="C23" s="15" t="s">
        <v>147</v>
      </c>
      <c r="D23" s="15" t="s">
        <v>148</v>
      </c>
      <c r="E23" s="15" t="s">
        <v>88</v>
      </c>
      <c r="F23" s="15" t="s">
        <v>149</v>
      </c>
    </row>
    <row r="24" customFormat="false" ht="42" hidden="false" customHeight="true" outlineLevel="0" collapsed="false">
      <c r="A24" s="15" t="s">
        <v>84</v>
      </c>
      <c r="B24" s="15" t="s">
        <v>150</v>
      </c>
      <c r="C24" s="15" t="s">
        <v>151</v>
      </c>
      <c r="D24" s="15" t="s">
        <v>152</v>
      </c>
      <c r="E24" s="15" t="s">
        <v>88</v>
      </c>
      <c r="F24" s="15" t="s">
        <v>153</v>
      </c>
    </row>
    <row r="25" customFormat="false" ht="28.5" hidden="false" customHeight="true" outlineLevel="0" collapsed="false">
      <c r="A25" s="15" t="s">
        <v>84</v>
      </c>
      <c r="B25" s="15" t="s">
        <v>154</v>
      </c>
      <c r="C25" s="15" t="s">
        <v>155</v>
      </c>
      <c r="D25" s="15" t="s">
        <v>156</v>
      </c>
      <c r="E25" s="15" t="s">
        <v>88</v>
      </c>
      <c r="F25" s="15" t="s">
        <v>157</v>
      </c>
    </row>
    <row r="26" customFormat="false" ht="15.75" hidden="false" customHeight="true" outlineLevel="0" collapsed="false">
      <c r="A26" s="15" t="s">
        <v>84</v>
      </c>
      <c r="B26" s="15" t="s">
        <v>158</v>
      </c>
      <c r="C26" s="15" t="s">
        <v>159</v>
      </c>
      <c r="D26" s="15" t="s">
        <v>160</v>
      </c>
      <c r="E26" s="15" t="s">
        <v>88</v>
      </c>
      <c r="F26" s="15" t="s">
        <v>161</v>
      </c>
    </row>
    <row r="27" customFormat="false" ht="42" hidden="false" customHeight="true" outlineLevel="0" collapsed="false">
      <c r="A27" s="15" t="s">
        <v>162</v>
      </c>
      <c r="B27" s="15" t="s">
        <v>150</v>
      </c>
      <c r="C27" s="15" t="s">
        <v>163</v>
      </c>
      <c r="D27" s="15" t="s">
        <v>152</v>
      </c>
      <c r="E27" s="15" t="s">
        <v>88</v>
      </c>
      <c r="F27" s="15" t="s">
        <v>164</v>
      </c>
    </row>
    <row r="28" customFormat="false" ht="15.75" hidden="false" customHeight="true" outlineLevel="0" collapsed="false">
      <c r="A28" s="15" t="s">
        <v>162</v>
      </c>
      <c r="B28" s="15" t="s">
        <v>165</v>
      </c>
      <c r="C28" s="15" t="s">
        <v>166</v>
      </c>
      <c r="D28" s="15" t="s">
        <v>167</v>
      </c>
      <c r="E28" s="15" t="s">
        <v>88</v>
      </c>
      <c r="F28" s="15" t="s">
        <v>168</v>
      </c>
    </row>
    <row r="29" customFormat="false" ht="28.5" hidden="false" customHeight="true" outlineLevel="0" collapsed="false">
      <c r="A29" s="15" t="s">
        <v>169</v>
      </c>
      <c r="B29" s="15" t="s">
        <v>170</v>
      </c>
      <c r="C29" s="15" t="s">
        <v>171</v>
      </c>
      <c r="D29" s="15" t="s">
        <v>172</v>
      </c>
      <c r="E29" s="15" t="s">
        <v>173</v>
      </c>
      <c r="F29" s="15" t="s">
        <v>174</v>
      </c>
    </row>
    <row r="30" customFormat="false" ht="28.5" hidden="false" customHeight="true" outlineLevel="0" collapsed="false">
      <c r="A30" s="15" t="s">
        <v>169</v>
      </c>
      <c r="B30" s="15" t="s">
        <v>85</v>
      </c>
      <c r="C30" s="15" t="s">
        <v>175</v>
      </c>
      <c r="D30" s="15" t="s">
        <v>176</v>
      </c>
      <c r="E30" s="15" t="s">
        <v>173</v>
      </c>
      <c r="F30" s="15" t="s">
        <v>177</v>
      </c>
    </row>
    <row r="31" customFormat="false" ht="28.5" hidden="false" customHeight="true" outlineLevel="0" collapsed="false">
      <c r="A31" s="15" t="s">
        <v>169</v>
      </c>
      <c r="B31" s="15" t="s">
        <v>100</v>
      </c>
      <c r="C31" s="15" t="s">
        <v>178</v>
      </c>
      <c r="D31" s="15" t="s">
        <v>179</v>
      </c>
      <c r="E31" s="15" t="s">
        <v>103</v>
      </c>
      <c r="F31" s="15" t="s">
        <v>180</v>
      </c>
    </row>
    <row r="32" customFormat="false" ht="28.5" hidden="false" customHeight="true" outlineLevel="0" collapsed="false">
      <c r="A32" s="15" t="s">
        <v>169</v>
      </c>
      <c r="B32" s="15" t="s">
        <v>181</v>
      </c>
      <c r="C32" s="15" t="s">
        <v>182</v>
      </c>
      <c r="D32" s="15" t="s">
        <v>183</v>
      </c>
      <c r="E32" s="15" t="s">
        <v>173</v>
      </c>
      <c r="F32" s="15" t="s">
        <v>184</v>
      </c>
    </row>
    <row r="33" customFormat="false" ht="28.5" hidden="false" customHeight="true" outlineLevel="0" collapsed="false">
      <c r="A33" s="15" t="s">
        <v>169</v>
      </c>
      <c r="B33" s="15" t="s">
        <v>185</v>
      </c>
      <c r="C33" s="15" t="s">
        <v>186</v>
      </c>
      <c r="D33" s="15" t="s">
        <v>187</v>
      </c>
      <c r="E33" s="15" t="s">
        <v>173</v>
      </c>
      <c r="F33" s="15" t="s">
        <v>184</v>
      </c>
    </row>
    <row r="34" customFormat="false" ht="28.5" hidden="false" customHeight="true" outlineLevel="0" collapsed="false">
      <c r="A34" s="15" t="s">
        <v>169</v>
      </c>
      <c r="B34" s="15" t="s">
        <v>188</v>
      </c>
      <c r="C34" s="15" t="s">
        <v>189</v>
      </c>
      <c r="D34" s="15" t="s">
        <v>188</v>
      </c>
      <c r="E34" s="15" t="s">
        <v>173</v>
      </c>
      <c r="F34" s="15" t="s">
        <v>177</v>
      </c>
    </row>
    <row r="35" customFormat="false" ht="28.5" hidden="false" customHeight="true" outlineLevel="0" collapsed="false">
      <c r="A35" s="15" t="s">
        <v>169</v>
      </c>
      <c r="B35" s="15" t="s">
        <v>190</v>
      </c>
      <c r="C35" s="15" t="s">
        <v>191</v>
      </c>
      <c r="D35" s="15" t="s">
        <v>190</v>
      </c>
      <c r="E35" s="15" t="s">
        <v>173</v>
      </c>
      <c r="F35" s="15" t="s">
        <v>192</v>
      </c>
    </row>
    <row r="36" customFormat="false" ht="28.5" hidden="false" customHeight="true" outlineLevel="0" collapsed="false">
      <c r="A36" s="15" t="s">
        <v>169</v>
      </c>
      <c r="B36" s="15" t="s">
        <v>193</v>
      </c>
      <c r="C36" s="15" t="s">
        <v>194</v>
      </c>
      <c r="D36" s="15" t="s">
        <v>195</v>
      </c>
      <c r="E36" s="15" t="s">
        <v>173</v>
      </c>
      <c r="F36" s="15" t="s">
        <v>196</v>
      </c>
    </row>
    <row r="37" customFormat="false" ht="42" hidden="false" customHeight="true" outlineLevel="0" collapsed="false">
      <c r="A37" s="15" t="s">
        <v>169</v>
      </c>
      <c r="B37" s="15" t="s">
        <v>197</v>
      </c>
      <c r="C37" s="15" t="s">
        <v>198</v>
      </c>
      <c r="D37" s="15" t="s">
        <v>199</v>
      </c>
      <c r="E37" s="15" t="s">
        <v>200</v>
      </c>
      <c r="F37" s="15" t="s">
        <v>201</v>
      </c>
    </row>
    <row r="38" customFormat="false" ht="42" hidden="false" customHeight="true" outlineLevel="0" collapsed="false">
      <c r="A38" s="15" t="s">
        <v>169</v>
      </c>
      <c r="B38" s="15" t="s">
        <v>202</v>
      </c>
      <c r="C38" s="15" t="s">
        <v>203</v>
      </c>
      <c r="D38" s="15" t="s">
        <v>204</v>
      </c>
      <c r="E38" s="15" t="s">
        <v>205</v>
      </c>
      <c r="F38" s="15" t="s">
        <v>206</v>
      </c>
    </row>
    <row r="39" customFormat="false" ht="28.5" hidden="false" customHeight="true" outlineLevel="0" collapsed="false">
      <c r="A39" s="15" t="s">
        <v>207</v>
      </c>
      <c r="B39" s="15" t="s">
        <v>193</v>
      </c>
      <c r="C39" s="15" t="s">
        <v>208</v>
      </c>
      <c r="D39" s="15" t="s">
        <v>193</v>
      </c>
      <c r="E39" s="15" t="s">
        <v>173</v>
      </c>
      <c r="F39" s="15" t="s">
        <v>209</v>
      </c>
    </row>
    <row r="40" customFormat="false" ht="15.75" hidden="false" customHeight="true" outlineLevel="0" collapsed="false">
      <c r="A40" s="15" t="s">
        <v>210</v>
      </c>
      <c r="B40" s="15" t="s">
        <v>211</v>
      </c>
      <c r="C40" s="15" t="s">
        <v>212</v>
      </c>
      <c r="D40" s="15" t="s">
        <v>213</v>
      </c>
      <c r="E40" s="15" t="s">
        <v>102</v>
      </c>
      <c r="F40" s="15" t="s">
        <v>214</v>
      </c>
    </row>
    <row r="41" customFormat="false" ht="15.75" hidden="false" customHeight="true" outlineLevel="0" collapsed="false">
      <c r="A41" s="15" t="s">
        <v>210</v>
      </c>
      <c r="B41" s="15" t="s">
        <v>215</v>
      </c>
      <c r="C41" s="15" t="s">
        <v>216</v>
      </c>
      <c r="D41" s="15" t="s">
        <v>217</v>
      </c>
      <c r="E41" s="15" t="s">
        <v>102</v>
      </c>
      <c r="F41" s="15" t="s">
        <v>214</v>
      </c>
    </row>
    <row r="42" customFormat="false" ht="15.75" hidden="false" customHeight="true" outlineLevel="0" collapsed="false">
      <c r="A42" s="15" t="s">
        <v>210</v>
      </c>
      <c r="B42" s="15" t="s">
        <v>125</v>
      </c>
      <c r="C42" s="15" t="s">
        <v>218</v>
      </c>
      <c r="D42" s="15" t="s">
        <v>219</v>
      </c>
      <c r="E42" s="15" t="s">
        <v>102</v>
      </c>
      <c r="F42" s="15" t="s">
        <v>214</v>
      </c>
    </row>
    <row r="43" customFormat="false" ht="15.75" hidden="false" customHeight="true" outlineLevel="0" collapsed="false">
      <c r="A43" s="15" t="s">
        <v>210</v>
      </c>
      <c r="B43" s="15" t="s">
        <v>220</v>
      </c>
      <c r="C43" s="15" t="s">
        <v>221</v>
      </c>
      <c r="D43" s="15" t="s">
        <v>92</v>
      </c>
      <c r="E43" s="15" t="s">
        <v>88</v>
      </c>
      <c r="F43" s="15" t="s">
        <v>222</v>
      </c>
    </row>
  </sheetData>
  <autoFilter ref="A4:F43"/>
  <conditionalFormatting sqref="E5:E43">
    <cfRule type="expression" priority="2" aboveAverage="0" equalAverage="0" bottom="0" percent="0" rank="0" text="" dxfId="5">
      <formula>ISNUMBER(SEARCH("Push origin",E5))</formula>
    </cfRule>
    <cfRule type="expression" priority="3" aboveAverage="0" equalAverage="0" bottom="0" percent="0" rank="0" text="" dxfId="6">
      <formula>ISNUMBER(SEARCH("Live",E5))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3262B"/>
    <pageSetUpPr fitToPage="false"/>
  </sheetPr>
  <dimension ref="A1:L141"/>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2" min="1" style="0" width="10"/>
    <col collapsed="false" customWidth="true" hidden="false" outlineLevel="0" max="3" min="3" style="0" width="16"/>
    <col collapsed="false" customWidth="true" hidden="false" outlineLevel="0" max="4" min="4" style="0" width="20"/>
    <col collapsed="false" customWidth="true" hidden="false" outlineLevel="0" max="5" min="5" style="0" width="46"/>
    <col collapsed="false" customWidth="true" hidden="false" outlineLevel="0" max="6" min="6" style="0" width="12"/>
    <col collapsed="false" customWidth="true" hidden="false" outlineLevel="0" max="7" min="7" style="0" width="13"/>
    <col collapsed="false" customWidth="true" hidden="false" outlineLevel="0" max="8" min="8" style="0" width="55"/>
    <col collapsed="false" customWidth="true" hidden="false" outlineLevel="0" max="9" min="9" style="0" width="12"/>
    <col collapsed="false" customWidth="true" hidden="false" outlineLevel="0" max="10" min="10" style="0" width="48"/>
    <col collapsed="false" customWidth="true" hidden="false" outlineLevel="0" max="11" min="11" style="0" width="50"/>
    <col collapsed="false" customWidth="true" hidden="false" outlineLevel="0" max="12" min="12" style="0" width="40"/>
  </cols>
  <sheetData>
    <row r="1" customFormat="false" ht="19.7" hidden="false" customHeight="false" outlineLevel="0" collapsed="false">
      <c r="A1" s="1" t="s">
        <v>223</v>
      </c>
    </row>
    <row r="2" customFormat="false" ht="15" hidden="false" customHeight="false" outlineLevel="0" collapsed="false">
      <c r="A2" s="11" t="s">
        <v>224</v>
      </c>
    </row>
    <row r="4" customFormat="false" ht="27.75" hidden="false" customHeight="true" outlineLevel="0" collapsed="false">
      <c r="A4" s="14" t="s">
        <v>225</v>
      </c>
      <c r="B4" s="14" t="s">
        <v>226</v>
      </c>
      <c r="C4" s="14" t="s">
        <v>227</v>
      </c>
      <c r="D4" s="14" t="s">
        <v>79</v>
      </c>
      <c r="E4" s="14" t="s">
        <v>228</v>
      </c>
      <c r="F4" s="14" t="s">
        <v>229</v>
      </c>
      <c r="G4" s="14" t="s">
        <v>230</v>
      </c>
      <c r="H4" s="14" t="s">
        <v>80</v>
      </c>
      <c r="I4" s="14" t="s">
        <v>231</v>
      </c>
      <c r="J4" s="14" t="s">
        <v>232</v>
      </c>
      <c r="K4" s="14" t="s">
        <v>233</v>
      </c>
      <c r="L4" s="14" t="s">
        <v>234</v>
      </c>
    </row>
    <row r="5" customFormat="false" ht="42" hidden="false" customHeight="true" outlineLevel="0" collapsed="false">
      <c r="A5" s="15" t="s">
        <v>235</v>
      </c>
      <c r="B5" s="15" t="s">
        <v>236</v>
      </c>
      <c r="C5" s="15" t="s">
        <v>237</v>
      </c>
      <c r="D5" s="15" t="s">
        <v>238</v>
      </c>
      <c r="E5" s="15" t="s">
        <v>239</v>
      </c>
      <c r="F5" s="15" t="s">
        <v>11</v>
      </c>
      <c r="G5" s="15" t="s">
        <v>11</v>
      </c>
      <c r="H5" s="15" t="s">
        <v>240</v>
      </c>
      <c r="I5" s="15"/>
      <c r="J5" s="15" t="s">
        <v>241</v>
      </c>
      <c r="K5" s="15" t="s">
        <v>242</v>
      </c>
      <c r="L5" s="15" t="s">
        <v>243</v>
      </c>
    </row>
    <row r="6" customFormat="false" ht="42" hidden="false" customHeight="true" outlineLevel="0" collapsed="false">
      <c r="A6" s="15" t="s">
        <v>244</v>
      </c>
      <c r="B6" s="15" t="s">
        <v>236</v>
      </c>
      <c r="C6" s="15" t="s">
        <v>237</v>
      </c>
      <c r="D6" s="15" t="s">
        <v>245</v>
      </c>
      <c r="E6" s="15" t="s">
        <v>246</v>
      </c>
      <c r="F6" s="15" t="s">
        <v>11</v>
      </c>
      <c r="G6" s="15" t="s">
        <v>9</v>
      </c>
      <c r="H6" s="15" t="s">
        <v>247</v>
      </c>
      <c r="I6" s="15" t="s">
        <v>84</v>
      </c>
      <c r="J6" s="15" t="s">
        <v>248</v>
      </c>
      <c r="K6" s="15" t="s">
        <v>249</v>
      </c>
      <c r="L6" s="15" t="s">
        <v>250</v>
      </c>
    </row>
    <row r="7" customFormat="false" ht="54.75" hidden="false" customHeight="true" outlineLevel="0" collapsed="false">
      <c r="A7" s="15" t="s">
        <v>251</v>
      </c>
      <c r="B7" s="15" t="s">
        <v>236</v>
      </c>
      <c r="C7" s="15" t="s">
        <v>252</v>
      </c>
      <c r="D7" s="15" t="s">
        <v>253</v>
      </c>
      <c r="E7" s="15" t="s">
        <v>254</v>
      </c>
      <c r="F7" s="15" t="s">
        <v>9</v>
      </c>
      <c r="G7" s="15" t="s">
        <v>9</v>
      </c>
      <c r="H7" s="15" t="s">
        <v>255</v>
      </c>
      <c r="I7" s="15" t="s">
        <v>84</v>
      </c>
      <c r="J7" s="15" t="s">
        <v>256</v>
      </c>
      <c r="K7" s="15" t="s">
        <v>257</v>
      </c>
      <c r="L7" s="15" t="s">
        <v>258</v>
      </c>
    </row>
    <row r="8" customFormat="false" ht="28.5" hidden="false" customHeight="true" outlineLevel="0" collapsed="false">
      <c r="A8" s="15" t="s">
        <v>259</v>
      </c>
      <c r="B8" s="15" t="s">
        <v>260</v>
      </c>
      <c r="C8" s="15" t="s">
        <v>237</v>
      </c>
      <c r="D8" s="15" t="s">
        <v>261</v>
      </c>
      <c r="E8" s="15" t="s">
        <v>262</v>
      </c>
      <c r="F8" s="15" t="s">
        <v>11</v>
      </c>
      <c r="G8" s="15" t="s">
        <v>9</v>
      </c>
      <c r="H8" s="15" t="s">
        <v>263</v>
      </c>
      <c r="I8" s="15" t="s">
        <v>84</v>
      </c>
      <c r="J8" s="15" t="s">
        <v>264</v>
      </c>
      <c r="K8" s="15" t="s">
        <v>265</v>
      </c>
      <c r="L8" s="15"/>
    </row>
    <row r="9" customFormat="false" ht="28.5" hidden="false" customHeight="true" outlineLevel="0" collapsed="false">
      <c r="A9" s="15" t="s">
        <v>266</v>
      </c>
      <c r="B9" s="15" t="s">
        <v>260</v>
      </c>
      <c r="C9" s="15" t="s">
        <v>267</v>
      </c>
      <c r="D9" s="15" t="s">
        <v>268</v>
      </c>
      <c r="E9" s="15" t="s">
        <v>269</v>
      </c>
      <c r="F9" s="15" t="s">
        <v>11</v>
      </c>
      <c r="G9" s="15" t="s">
        <v>9</v>
      </c>
      <c r="H9" s="15" t="s">
        <v>270</v>
      </c>
      <c r="I9" s="15" t="s">
        <v>84</v>
      </c>
      <c r="J9" s="15" t="s">
        <v>271</v>
      </c>
      <c r="K9" s="15" t="s">
        <v>272</v>
      </c>
      <c r="L9" s="15"/>
    </row>
    <row r="10" customFormat="false" ht="120" hidden="false" customHeight="true" outlineLevel="0" collapsed="false">
      <c r="A10" s="15" t="s">
        <v>273</v>
      </c>
      <c r="B10" s="15" t="s">
        <v>274</v>
      </c>
      <c r="C10" s="15" t="s">
        <v>237</v>
      </c>
      <c r="D10" s="15" t="s">
        <v>275</v>
      </c>
      <c r="E10" s="15" t="s">
        <v>276</v>
      </c>
      <c r="F10" s="15" t="s">
        <v>9</v>
      </c>
      <c r="G10" s="15" t="s">
        <v>7</v>
      </c>
      <c r="H10" s="15" t="s">
        <v>277</v>
      </c>
      <c r="I10" s="15" t="s">
        <v>84</v>
      </c>
      <c r="J10" s="15" t="s">
        <v>278</v>
      </c>
      <c r="K10" s="15" t="s">
        <v>279</v>
      </c>
      <c r="L10" s="15" t="s">
        <v>280</v>
      </c>
    </row>
    <row r="11" customFormat="false" ht="42" hidden="false" customHeight="true" outlineLevel="0" collapsed="false">
      <c r="A11" s="15" t="s">
        <v>281</v>
      </c>
      <c r="B11" s="15" t="s">
        <v>282</v>
      </c>
      <c r="C11" s="15" t="s">
        <v>237</v>
      </c>
      <c r="D11" s="15" t="s">
        <v>283</v>
      </c>
      <c r="E11" s="15" t="s">
        <v>284</v>
      </c>
      <c r="F11" s="15" t="s">
        <v>7</v>
      </c>
      <c r="G11" s="15" t="s">
        <v>7</v>
      </c>
      <c r="H11" s="15" t="s">
        <v>285</v>
      </c>
      <c r="I11" s="15" t="s">
        <v>286</v>
      </c>
      <c r="J11" s="15"/>
      <c r="K11" s="15" t="s">
        <v>287</v>
      </c>
      <c r="L11" s="15" t="s">
        <v>288</v>
      </c>
    </row>
    <row r="12" customFormat="false" ht="54.75" hidden="false" customHeight="true" outlineLevel="0" collapsed="false">
      <c r="A12" s="15" t="s">
        <v>289</v>
      </c>
      <c r="B12" s="15" t="s">
        <v>282</v>
      </c>
      <c r="C12" s="15" t="s">
        <v>237</v>
      </c>
      <c r="D12" s="15" t="s">
        <v>290</v>
      </c>
      <c r="E12" s="15" t="s">
        <v>291</v>
      </c>
      <c r="F12" s="15" t="s">
        <v>7</v>
      </c>
      <c r="G12" s="15" t="s">
        <v>7</v>
      </c>
      <c r="H12" s="15" t="s">
        <v>285</v>
      </c>
      <c r="I12" s="15" t="s">
        <v>286</v>
      </c>
      <c r="J12" s="15"/>
      <c r="K12" s="15" t="s">
        <v>292</v>
      </c>
      <c r="L12" s="15" t="s">
        <v>293</v>
      </c>
    </row>
    <row r="13" customFormat="false" ht="54.75" hidden="false" customHeight="true" outlineLevel="0" collapsed="false">
      <c r="A13" s="15" t="s">
        <v>294</v>
      </c>
      <c r="B13" s="15" t="s">
        <v>282</v>
      </c>
      <c r="C13" s="15" t="s">
        <v>252</v>
      </c>
      <c r="D13" s="15" t="s">
        <v>295</v>
      </c>
      <c r="E13" s="15" t="s">
        <v>296</v>
      </c>
      <c r="F13" s="15" t="s">
        <v>7</v>
      </c>
      <c r="G13" s="15" t="s">
        <v>7</v>
      </c>
      <c r="H13" s="15" t="s">
        <v>285</v>
      </c>
      <c r="I13" s="15" t="s">
        <v>286</v>
      </c>
      <c r="J13" s="15"/>
      <c r="K13" s="15" t="s">
        <v>297</v>
      </c>
      <c r="L13" s="15" t="s">
        <v>298</v>
      </c>
    </row>
    <row r="14" customFormat="false" ht="67.5" hidden="false" customHeight="true" outlineLevel="0" collapsed="false">
      <c r="A14" s="15" t="s">
        <v>299</v>
      </c>
      <c r="B14" s="15" t="s">
        <v>282</v>
      </c>
      <c r="C14" s="15" t="s">
        <v>252</v>
      </c>
      <c r="D14" s="15" t="s">
        <v>300</v>
      </c>
      <c r="E14" s="15" t="s">
        <v>301</v>
      </c>
      <c r="F14" s="15" t="s">
        <v>7</v>
      </c>
      <c r="G14" s="15" t="s">
        <v>7</v>
      </c>
      <c r="H14" s="15" t="s">
        <v>285</v>
      </c>
      <c r="I14" s="15" t="s">
        <v>286</v>
      </c>
      <c r="J14" s="15"/>
      <c r="K14" s="15" t="s">
        <v>302</v>
      </c>
      <c r="L14" s="15" t="s">
        <v>303</v>
      </c>
    </row>
    <row r="15" customFormat="false" ht="42" hidden="false" customHeight="true" outlineLevel="0" collapsed="false">
      <c r="A15" s="15" t="s">
        <v>304</v>
      </c>
      <c r="B15" s="15" t="s">
        <v>282</v>
      </c>
      <c r="C15" s="15" t="s">
        <v>252</v>
      </c>
      <c r="D15" s="15" t="s">
        <v>305</v>
      </c>
      <c r="E15" s="15" t="s">
        <v>306</v>
      </c>
      <c r="F15" s="15" t="s">
        <v>7</v>
      </c>
      <c r="G15" s="15" t="s">
        <v>7</v>
      </c>
      <c r="H15" s="15" t="s">
        <v>285</v>
      </c>
      <c r="I15" s="15" t="s">
        <v>286</v>
      </c>
      <c r="J15" s="15"/>
      <c r="K15" s="15" t="s">
        <v>307</v>
      </c>
      <c r="L15" s="15" t="s">
        <v>308</v>
      </c>
    </row>
    <row r="16" customFormat="false" ht="54.75" hidden="false" customHeight="true" outlineLevel="0" collapsed="false">
      <c r="A16" s="15" t="s">
        <v>309</v>
      </c>
      <c r="B16" s="15" t="s">
        <v>282</v>
      </c>
      <c r="C16" s="15" t="s">
        <v>252</v>
      </c>
      <c r="D16" s="15" t="s">
        <v>310</v>
      </c>
      <c r="E16" s="15" t="s">
        <v>311</v>
      </c>
      <c r="F16" s="15" t="s">
        <v>11</v>
      </c>
      <c r="G16" s="15" t="s">
        <v>7</v>
      </c>
      <c r="H16" s="15" t="s">
        <v>312</v>
      </c>
      <c r="I16" s="15" t="s">
        <v>84</v>
      </c>
      <c r="J16" s="15" t="s">
        <v>313</v>
      </c>
      <c r="K16" s="15" t="s">
        <v>314</v>
      </c>
      <c r="L16" s="15" t="s">
        <v>315</v>
      </c>
    </row>
    <row r="17" customFormat="false" ht="54.75" hidden="false" customHeight="true" outlineLevel="0" collapsed="false">
      <c r="A17" s="15" t="s">
        <v>316</v>
      </c>
      <c r="B17" s="15" t="s">
        <v>282</v>
      </c>
      <c r="C17" s="15" t="s">
        <v>252</v>
      </c>
      <c r="D17" s="15" t="s">
        <v>317</v>
      </c>
      <c r="E17" s="15" t="s">
        <v>318</v>
      </c>
      <c r="F17" s="15" t="s">
        <v>7</v>
      </c>
      <c r="G17" s="15" t="s">
        <v>7</v>
      </c>
      <c r="H17" s="15" t="s">
        <v>285</v>
      </c>
      <c r="I17" s="15" t="s">
        <v>286</v>
      </c>
      <c r="J17" s="15"/>
      <c r="K17" s="15" t="s">
        <v>319</v>
      </c>
      <c r="L17" s="15" t="s">
        <v>320</v>
      </c>
    </row>
    <row r="18" customFormat="false" ht="42" hidden="false" customHeight="true" outlineLevel="0" collapsed="false">
      <c r="A18" s="15" t="s">
        <v>321</v>
      </c>
      <c r="B18" s="15" t="s">
        <v>282</v>
      </c>
      <c r="C18" s="15" t="s">
        <v>322</v>
      </c>
      <c r="D18" s="15" t="s">
        <v>323</v>
      </c>
      <c r="E18" s="15" t="s">
        <v>324</v>
      </c>
      <c r="F18" s="15" t="s">
        <v>7</v>
      </c>
      <c r="G18" s="15" t="s">
        <v>7</v>
      </c>
      <c r="H18" s="15" t="s">
        <v>285</v>
      </c>
      <c r="I18" s="15" t="s">
        <v>286</v>
      </c>
      <c r="J18" s="15"/>
      <c r="K18" s="15" t="s">
        <v>325</v>
      </c>
      <c r="L18" s="15"/>
    </row>
    <row r="19" customFormat="false" ht="54.75" hidden="false" customHeight="true" outlineLevel="0" collapsed="false">
      <c r="A19" s="15" t="s">
        <v>326</v>
      </c>
      <c r="B19" s="15" t="s">
        <v>282</v>
      </c>
      <c r="C19" s="15" t="s">
        <v>322</v>
      </c>
      <c r="D19" s="15" t="s">
        <v>327</v>
      </c>
      <c r="E19" s="15" t="s">
        <v>328</v>
      </c>
      <c r="F19" s="15" t="s">
        <v>7</v>
      </c>
      <c r="G19" s="15" t="s">
        <v>7</v>
      </c>
      <c r="H19" s="15" t="s">
        <v>285</v>
      </c>
      <c r="I19" s="15" t="s">
        <v>286</v>
      </c>
      <c r="J19" s="15"/>
      <c r="K19" s="15" t="s">
        <v>329</v>
      </c>
      <c r="L19" s="15" t="s">
        <v>330</v>
      </c>
    </row>
    <row r="20" customFormat="false" ht="42" hidden="false" customHeight="true" outlineLevel="0" collapsed="false">
      <c r="A20" s="15" t="s">
        <v>331</v>
      </c>
      <c r="B20" s="15" t="s">
        <v>282</v>
      </c>
      <c r="C20" s="15" t="s">
        <v>322</v>
      </c>
      <c r="D20" s="15" t="s">
        <v>332</v>
      </c>
      <c r="E20" s="15" t="s">
        <v>333</v>
      </c>
      <c r="F20" s="15" t="s">
        <v>7</v>
      </c>
      <c r="G20" s="15" t="s">
        <v>7</v>
      </c>
      <c r="H20" s="15" t="s">
        <v>285</v>
      </c>
      <c r="I20" s="15" t="s">
        <v>286</v>
      </c>
      <c r="J20" s="15"/>
      <c r="K20" s="15" t="s">
        <v>334</v>
      </c>
      <c r="L20" s="15"/>
    </row>
    <row r="21" customFormat="false" ht="67.5" hidden="false" customHeight="true" outlineLevel="0" collapsed="false">
      <c r="A21" s="15" t="s">
        <v>335</v>
      </c>
      <c r="B21" s="15" t="s">
        <v>282</v>
      </c>
      <c r="C21" s="15" t="s">
        <v>322</v>
      </c>
      <c r="D21" s="15" t="s">
        <v>336</v>
      </c>
      <c r="E21" s="15" t="s">
        <v>337</v>
      </c>
      <c r="F21" s="15" t="s">
        <v>7</v>
      </c>
      <c r="G21" s="15" t="s">
        <v>7</v>
      </c>
      <c r="H21" s="15" t="s">
        <v>285</v>
      </c>
      <c r="I21" s="15" t="s">
        <v>286</v>
      </c>
      <c r="J21" s="15"/>
      <c r="K21" s="15" t="s">
        <v>338</v>
      </c>
      <c r="L21" s="15"/>
    </row>
    <row r="22" customFormat="false" ht="42" hidden="false" customHeight="true" outlineLevel="0" collapsed="false">
      <c r="A22" s="15" t="s">
        <v>339</v>
      </c>
      <c r="B22" s="15" t="s">
        <v>282</v>
      </c>
      <c r="C22" s="15" t="s">
        <v>322</v>
      </c>
      <c r="D22" s="15" t="s">
        <v>340</v>
      </c>
      <c r="E22" s="15" t="s">
        <v>341</v>
      </c>
      <c r="F22" s="15" t="s">
        <v>7</v>
      </c>
      <c r="G22" s="15" t="s">
        <v>7</v>
      </c>
      <c r="H22" s="15" t="s">
        <v>285</v>
      </c>
      <c r="I22" s="15" t="s">
        <v>286</v>
      </c>
      <c r="J22" s="15"/>
      <c r="K22" s="15" t="s">
        <v>342</v>
      </c>
      <c r="L22" s="15"/>
    </row>
    <row r="23" customFormat="false" ht="28.5" hidden="false" customHeight="true" outlineLevel="0" collapsed="false">
      <c r="A23" s="15" t="s">
        <v>343</v>
      </c>
      <c r="B23" s="15" t="s">
        <v>282</v>
      </c>
      <c r="C23" s="15" t="s">
        <v>344</v>
      </c>
      <c r="D23" s="15"/>
      <c r="E23" s="15" t="s">
        <v>345</v>
      </c>
      <c r="F23" s="15" t="s">
        <v>7</v>
      </c>
      <c r="G23" s="15" t="s">
        <v>7</v>
      </c>
      <c r="H23" s="15" t="s">
        <v>285</v>
      </c>
      <c r="I23" s="15" t="s">
        <v>286</v>
      </c>
      <c r="J23" s="15"/>
      <c r="K23" s="15" t="s">
        <v>346</v>
      </c>
      <c r="L23" s="15"/>
    </row>
    <row r="24" customFormat="false" ht="54.75" hidden="false" customHeight="true" outlineLevel="0" collapsed="false">
      <c r="A24" s="15" t="s">
        <v>347</v>
      </c>
      <c r="B24" s="15" t="s">
        <v>236</v>
      </c>
      <c r="C24" s="15" t="s">
        <v>237</v>
      </c>
      <c r="D24" s="15" t="s">
        <v>348</v>
      </c>
      <c r="E24" s="15" t="s">
        <v>349</v>
      </c>
      <c r="F24" s="15" t="s">
        <v>7</v>
      </c>
      <c r="G24" s="15" t="s">
        <v>7</v>
      </c>
      <c r="H24" s="15" t="s">
        <v>285</v>
      </c>
      <c r="I24" s="15" t="s">
        <v>286</v>
      </c>
      <c r="J24" s="15"/>
      <c r="K24" s="15" t="s">
        <v>350</v>
      </c>
      <c r="L24" s="15" t="s">
        <v>351</v>
      </c>
    </row>
    <row r="25" customFormat="false" ht="42" hidden="false" customHeight="true" outlineLevel="0" collapsed="false">
      <c r="A25" s="15" t="s">
        <v>352</v>
      </c>
      <c r="B25" s="15" t="s">
        <v>236</v>
      </c>
      <c r="C25" s="15" t="s">
        <v>237</v>
      </c>
      <c r="D25" s="15" t="s">
        <v>353</v>
      </c>
      <c r="E25" s="15" t="s">
        <v>354</v>
      </c>
      <c r="F25" s="15" t="s">
        <v>11</v>
      </c>
      <c r="G25" s="15" t="s">
        <v>7</v>
      </c>
      <c r="H25" s="15" t="s">
        <v>355</v>
      </c>
      <c r="I25" s="15" t="s">
        <v>84</v>
      </c>
      <c r="J25" s="15" t="s">
        <v>356</v>
      </c>
      <c r="K25" s="15" t="s">
        <v>357</v>
      </c>
      <c r="L25" s="15"/>
    </row>
    <row r="26" customFormat="false" ht="42" hidden="false" customHeight="true" outlineLevel="0" collapsed="false">
      <c r="A26" s="15" t="s">
        <v>358</v>
      </c>
      <c r="B26" s="15" t="s">
        <v>236</v>
      </c>
      <c r="C26" s="15" t="s">
        <v>237</v>
      </c>
      <c r="D26" s="15" t="s">
        <v>359</v>
      </c>
      <c r="E26" s="15" t="s">
        <v>360</v>
      </c>
      <c r="F26" s="15" t="s">
        <v>11</v>
      </c>
      <c r="G26" s="15" t="s">
        <v>7</v>
      </c>
      <c r="H26" s="15" t="s">
        <v>361</v>
      </c>
      <c r="I26" s="15" t="s">
        <v>84</v>
      </c>
      <c r="J26" s="15" t="s">
        <v>362</v>
      </c>
      <c r="K26" s="15" t="s">
        <v>363</v>
      </c>
      <c r="L26" s="15" t="s">
        <v>364</v>
      </c>
    </row>
    <row r="27" customFormat="false" ht="42" hidden="false" customHeight="true" outlineLevel="0" collapsed="false">
      <c r="A27" s="15" t="s">
        <v>365</v>
      </c>
      <c r="B27" s="15" t="s">
        <v>236</v>
      </c>
      <c r="C27" s="15" t="s">
        <v>237</v>
      </c>
      <c r="D27" s="15" t="s">
        <v>366</v>
      </c>
      <c r="E27" s="15" t="s">
        <v>367</v>
      </c>
      <c r="F27" s="15" t="s">
        <v>11</v>
      </c>
      <c r="G27" s="15" t="s">
        <v>7</v>
      </c>
      <c r="H27" s="15" t="s">
        <v>368</v>
      </c>
      <c r="I27" s="15" t="s">
        <v>84</v>
      </c>
      <c r="J27" s="15" t="s">
        <v>369</v>
      </c>
      <c r="K27" s="15" t="s">
        <v>370</v>
      </c>
      <c r="L27" s="15" t="s">
        <v>371</v>
      </c>
    </row>
    <row r="28" customFormat="false" ht="42" hidden="false" customHeight="true" outlineLevel="0" collapsed="false">
      <c r="A28" s="15" t="s">
        <v>372</v>
      </c>
      <c r="B28" s="15" t="s">
        <v>236</v>
      </c>
      <c r="C28" s="15" t="s">
        <v>237</v>
      </c>
      <c r="D28" s="15" t="s">
        <v>373</v>
      </c>
      <c r="E28" s="15" t="s">
        <v>374</v>
      </c>
      <c r="F28" s="15" t="s">
        <v>11</v>
      </c>
      <c r="G28" s="15" t="s">
        <v>7</v>
      </c>
      <c r="H28" s="15" t="s">
        <v>375</v>
      </c>
      <c r="I28" s="15" t="s">
        <v>84</v>
      </c>
      <c r="J28" s="15" t="s">
        <v>376</v>
      </c>
      <c r="K28" s="15" t="s">
        <v>377</v>
      </c>
      <c r="L28" s="15"/>
    </row>
    <row r="29" customFormat="false" ht="42" hidden="false" customHeight="true" outlineLevel="0" collapsed="false">
      <c r="A29" s="15" t="s">
        <v>378</v>
      </c>
      <c r="B29" s="15" t="s">
        <v>236</v>
      </c>
      <c r="C29" s="15" t="s">
        <v>237</v>
      </c>
      <c r="D29" s="15" t="s">
        <v>379</v>
      </c>
      <c r="E29" s="15" t="s">
        <v>380</v>
      </c>
      <c r="F29" s="15" t="s">
        <v>11</v>
      </c>
      <c r="G29" s="15" t="s">
        <v>7</v>
      </c>
      <c r="H29" s="15" t="s">
        <v>381</v>
      </c>
      <c r="I29" s="15" t="s">
        <v>84</v>
      </c>
      <c r="J29" s="15" t="s">
        <v>382</v>
      </c>
      <c r="K29" s="15" t="s">
        <v>383</v>
      </c>
      <c r="L29" s="15" t="s">
        <v>384</v>
      </c>
    </row>
    <row r="30" customFormat="false" ht="81" hidden="false" customHeight="true" outlineLevel="0" collapsed="false">
      <c r="A30" s="15" t="s">
        <v>385</v>
      </c>
      <c r="B30" s="15" t="s">
        <v>236</v>
      </c>
      <c r="C30" s="15" t="s">
        <v>252</v>
      </c>
      <c r="D30" s="15" t="s">
        <v>386</v>
      </c>
      <c r="E30" s="15" t="s">
        <v>387</v>
      </c>
      <c r="F30" s="15" t="s">
        <v>9</v>
      </c>
      <c r="G30" s="15" t="s">
        <v>7</v>
      </c>
      <c r="H30" s="15" t="s">
        <v>388</v>
      </c>
      <c r="I30" s="15" t="s">
        <v>84</v>
      </c>
      <c r="J30" s="15" t="s">
        <v>389</v>
      </c>
      <c r="K30" s="15" t="s">
        <v>390</v>
      </c>
      <c r="L30" s="15" t="s">
        <v>391</v>
      </c>
    </row>
    <row r="31" customFormat="false" ht="81" hidden="false" customHeight="true" outlineLevel="0" collapsed="false">
      <c r="A31" s="15" t="s">
        <v>392</v>
      </c>
      <c r="B31" s="15" t="s">
        <v>236</v>
      </c>
      <c r="C31" s="15" t="s">
        <v>252</v>
      </c>
      <c r="D31" s="15" t="s">
        <v>393</v>
      </c>
      <c r="E31" s="15" t="s">
        <v>394</v>
      </c>
      <c r="F31" s="15" t="s">
        <v>7</v>
      </c>
      <c r="G31" s="15" t="s">
        <v>7</v>
      </c>
      <c r="H31" s="15" t="s">
        <v>285</v>
      </c>
      <c r="I31" s="15" t="s">
        <v>286</v>
      </c>
      <c r="J31" s="15"/>
      <c r="K31" s="15" t="s">
        <v>395</v>
      </c>
      <c r="L31" s="15"/>
    </row>
    <row r="32" customFormat="false" ht="54.75" hidden="false" customHeight="true" outlineLevel="0" collapsed="false">
      <c r="A32" s="15" t="s">
        <v>396</v>
      </c>
      <c r="B32" s="15" t="s">
        <v>236</v>
      </c>
      <c r="C32" s="15" t="s">
        <v>252</v>
      </c>
      <c r="D32" s="15" t="s">
        <v>397</v>
      </c>
      <c r="E32" s="15" t="s">
        <v>398</v>
      </c>
      <c r="F32" s="15" t="s">
        <v>7</v>
      </c>
      <c r="G32" s="15" t="s">
        <v>7</v>
      </c>
      <c r="H32" s="15" t="s">
        <v>285</v>
      </c>
      <c r="I32" s="15" t="s">
        <v>286</v>
      </c>
      <c r="J32" s="15"/>
      <c r="K32" s="15" t="s">
        <v>399</v>
      </c>
      <c r="L32" s="15" t="s">
        <v>400</v>
      </c>
    </row>
    <row r="33" customFormat="false" ht="54.75" hidden="false" customHeight="true" outlineLevel="0" collapsed="false">
      <c r="A33" s="15" t="s">
        <v>401</v>
      </c>
      <c r="B33" s="15" t="s">
        <v>236</v>
      </c>
      <c r="C33" s="15" t="s">
        <v>252</v>
      </c>
      <c r="D33" s="15" t="s">
        <v>402</v>
      </c>
      <c r="E33" s="15" t="s">
        <v>403</v>
      </c>
      <c r="F33" s="15" t="s">
        <v>9</v>
      </c>
      <c r="G33" s="15" t="s">
        <v>7</v>
      </c>
      <c r="H33" s="15" t="s">
        <v>404</v>
      </c>
      <c r="I33" s="15" t="s">
        <v>84</v>
      </c>
      <c r="J33" s="15" t="s">
        <v>405</v>
      </c>
      <c r="K33" s="15" t="s">
        <v>406</v>
      </c>
      <c r="L33" s="15" t="s">
        <v>407</v>
      </c>
    </row>
    <row r="34" customFormat="false" ht="54.75" hidden="false" customHeight="true" outlineLevel="0" collapsed="false">
      <c r="A34" s="15" t="s">
        <v>408</v>
      </c>
      <c r="B34" s="15" t="s">
        <v>236</v>
      </c>
      <c r="C34" s="15" t="s">
        <v>252</v>
      </c>
      <c r="D34" s="15" t="s">
        <v>409</v>
      </c>
      <c r="E34" s="15" t="s">
        <v>410</v>
      </c>
      <c r="F34" s="15" t="s">
        <v>7</v>
      </c>
      <c r="G34" s="15" t="s">
        <v>7</v>
      </c>
      <c r="H34" s="15" t="s">
        <v>285</v>
      </c>
      <c r="I34" s="15" t="s">
        <v>286</v>
      </c>
      <c r="J34" s="15"/>
      <c r="K34" s="15" t="s">
        <v>411</v>
      </c>
      <c r="L34" s="15" t="s">
        <v>412</v>
      </c>
    </row>
    <row r="35" customFormat="false" ht="54.75" hidden="false" customHeight="true" outlineLevel="0" collapsed="false">
      <c r="A35" s="15" t="s">
        <v>413</v>
      </c>
      <c r="B35" s="15" t="s">
        <v>236</v>
      </c>
      <c r="C35" s="15" t="s">
        <v>252</v>
      </c>
      <c r="D35" s="15" t="s">
        <v>414</v>
      </c>
      <c r="E35" s="15" t="s">
        <v>415</v>
      </c>
      <c r="F35" s="15" t="s">
        <v>7</v>
      </c>
      <c r="G35" s="15" t="s">
        <v>7</v>
      </c>
      <c r="H35" s="15" t="s">
        <v>285</v>
      </c>
      <c r="I35" s="15" t="s">
        <v>286</v>
      </c>
      <c r="J35" s="15"/>
      <c r="K35" s="15" t="s">
        <v>416</v>
      </c>
      <c r="L35" s="15" t="s">
        <v>417</v>
      </c>
    </row>
    <row r="36" customFormat="false" ht="67.5" hidden="false" customHeight="true" outlineLevel="0" collapsed="false">
      <c r="A36" s="15" t="s">
        <v>418</v>
      </c>
      <c r="B36" s="15" t="s">
        <v>236</v>
      </c>
      <c r="C36" s="15" t="s">
        <v>252</v>
      </c>
      <c r="D36" s="15" t="s">
        <v>419</v>
      </c>
      <c r="E36" s="15" t="s">
        <v>420</v>
      </c>
      <c r="F36" s="15" t="s">
        <v>7</v>
      </c>
      <c r="G36" s="15" t="s">
        <v>7</v>
      </c>
      <c r="H36" s="15" t="s">
        <v>285</v>
      </c>
      <c r="I36" s="15" t="s">
        <v>286</v>
      </c>
      <c r="J36" s="15"/>
      <c r="K36" s="15" t="s">
        <v>421</v>
      </c>
      <c r="L36" s="15" t="s">
        <v>422</v>
      </c>
    </row>
    <row r="37" customFormat="false" ht="81" hidden="false" customHeight="true" outlineLevel="0" collapsed="false">
      <c r="A37" s="15" t="s">
        <v>423</v>
      </c>
      <c r="B37" s="15" t="s">
        <v>236</v>
      </c>
      <c r="C37" s="15" t="s">
        <v>252</v>
      </c>
      <c r="D37" s="15" t="s">
        <v>424</v>
      </c>
      <c r="E37" s="15" t="s">
        <v>425</v>
      </c>
      <c r="F37" s="15" t="s">
        <v>9</v>
      </c>
      <c r="G37" s="15" t="s">
        <v>7</v>
      </c>
      <c r="H37" s="15" t="s">
        <v>426</v>
      </c>
      <c r="I37" s="15" t="s">
        <v>84</v>
      </c>
      <c r="J37" s="15" t="s">
        <v>427</v>
      </c>
      <c r="K37" s="15" t="s">
        <v>428</v>
      </c>
      <c r="L37" s="15" t="s">
        <v>429</v>
      </c>
    </row>
    <row r="38" customFormat="false" ht="81" hidden="false" customHeight="true" outlineLevel="0" collapsed="false">
      <c r="A38" s="15" t="s">
        <v>430</v>
      </c>
      <c r="B38" s="15" t="s">
        <v>236</v>
      </c>
      <c r="C38" s="15" t="s">
        <v>252</v>
      </c>
      <c r="D38" s="15" t="s">
        <v>431</v>
      </c>
      <c r="E38" s="15" t="s">
        <v>432</v>
      </c>
      <c r="F38" s="15" t="s">
        <v>7</v>
      </c>
      <c r="G38" s="15" t="s">
        <v>7</v>
      </c>
      <c r="H38" s="15" t="s">
        <v>285</v>
      </c>
      <c r="I38" s="15" t="s">
        <v>286</v>
      </c>
      <c r="J38" s="15"/>
      <c r="K38" s="15" t="s">
        <v>433</v>
      </c>
      <c r="L38" s="15" t="s">
        <v>434</v>
      </c>
    </row>
    <row r="39" customFormat="false" ht="54.75" hidden="false" customHeight="true" outlineLevel="0" collapsed="false">
      <c r="A39" s="15" t="s">
        <v>435</v>
      </c>
      <c r="B39" s="15" t="s">
        <v>236</v>
      </c>
      <c r="C39" s="15" t="s">
        <v>252</v>
      </c>
      <c r="D39" s="15" t="s">
        <v>436</v>
      </c>
      <c r="E39" s="15" t="s">
        <v>437</v>
      </c>
      <c r="F39" s="15" t="s">
        <v>9</v>
      </c>
      <c r="G39" s="15" t="s">
        <v>7</v>
      </c>
      <c r="H39" s="15" t="s">
        <v>438</v>
      </c>
      <c r="I39" s="15" t="s">
        <v>84</v>
      </c>
      <c r="J39" s="15" t="s">
        <v>439</v>
      </c>
      <c r="K39" s="15" t="s">
        <v>440</v>
      </c>
      <c r="L39" s="15" t="s">
        <v>441</v>
      </c>
    </row>
    <row r="40" customFormat="false" ht="67.5" hidden="false" customHeight="true" outlineLevel="0" collapsed="false">
      <c r="A40" s="15" t="s">
        <v>442</v>
      </c>
      <c r="B40" s="15" t="s">
        <v>236</v>
      </c>
      <c r="C40" s="15" t="s">
        <v>252</v>
      </c>
      <c r="D40" s="15" t="s">
        <v>443</v>
      </c>
      <c r="E40" s="15" t="s">
        <v>444</v>
      </c>
      <c r="F40" s="15" t="s">
        <v>7</v>
      </c>
      <c r="G40" s="15" t="s">
        <v>7</v>
      </c>
      <c r="H40" s="15" t="s">
        <v>285</v>
      </c>
      <c r="I40" s="15" t="s">
        <v>286</v>
      </c>
      <c r="J40" s="15"/>
      <c r="K40" s="15" t="s">
        <v>445</v>
      </c>
      <c r="L40" s="15"/>
    </row>
    <row r="41" customFormat="false" ht="54.75" hidden="false" customHeight="true" outlineLevel="0" collapsed="false">
      <c r="A41" s="15" t="s">
        <v>446</v>
      </c>
      <c r="B41" s="15" t="s">
        <v>236</v>
      </c>
      <c r="C41" s="15" t="s">
        <v>252</v>
      </c>
      <c r="D41" s="15" t="s">
        <v>447</v>
      </c>
      <c r="E41" s="15" t="s">
        <v>448</v>
      </c>
      <c r="F41" s="15" t="s">
        <v>9</v>
      </c>
      <c r="G41" s="15" t="s">
        <v>7</v>
      </c>
      <c r="H41" s="15" t="s">
        <v>449</v>
      </c>
      <c r="I41" s="15" t="s">
        <v>84</v>
      </c>
      <c r="J41" s="15" t="s">
        <v>450</v>
      </c>
      <c r="K41" s="15" t="s">
        <v>451</v>
      </c>
      <c r="L41" s="15" t="s">
        <v>452</v>
      </c>
    </row>
    <row r="42" customFormat="false" ht="42" hidden="false" customHeight="true" outlineLevel="0" collapsed="false">
      <c r="A42" s="15" t="s">
        <v>453</v>
      </c>
      <c r="B42" s="15" t="s">
        <v>236</v>
      </c>
      <c r="C42" s="15" t="s">
        <v>322</v>
      </c>
      <c r="D42" s="15" t="s">
        <v>454</v>
      </c>
      <c r="E42" s="15" t="s">
        <v>455</v>
      </c>
      <c r="F42" s="15" t="s">
        <v>7</v>
      </c>
      <c r="G42" s="15" t="s">
        <v>7</v>
      </c>
      <c r="H42" s="15" t="s">
        <v>285</v>
      </c>
      <c r="I42" s="15" t="s">
        <v>286</v>
      </c>
      <c r="J42" s="15"/>
      <c r="K42" s="15" t="s">
        <v>456</v>
      </c>
      <c r="L42" s="15"/>
    </row>
    <row r="43" customFormat="false" ht="42" hidden="false" customHeight="true" outlineLevel="0" collapsed="false">
      <c r="A43" s="15" t="s">
        <v>457</v>
      </c>
      <c r="B43" s="15" t="s">
        <v>236</v>
      </c>
      <c r="C43" s="15" t="s">
        <v>322</v>
      </c>
      <c r="D43" s="15" t="s">
        <v>458</v>
      </c>
      <c r="E43" s="15" t="s">
        <v>459</v>
      </c>
      <c r="F43" s="15" t="s">
        <v>7</v>
      </c>
      <c r="G43" s="15" t="s">
        <v>7</v>
      </c>
      <c r="H43" s="15" t="s">
        <v>285</v>
      </c>
      <c r="I43" s="15" t="s">
        <v>286</v>
      </c>
      <c r="J43" s="15"/>
      <c r="K43" s="15" t="s">
        <v>460</v>
      </c>
      <c r="L43" s="15"/>
    </row>
    <row r="44" customFormat="false" ht="42" hidden="false" customHeight="true" outlineLevel="0" collapsed="false">
      <c r="A44" s="15" t="s">
        <v>461</v>
      </c>
      <c r="B44" s="15" t="s">
        <v>236</v>
      </c>
      <c r="C44" s="15" t="s">
        <v>322</v>
      </c>
      <c r="D44" s="15" t="s">
        <v>462</v>
      </c>
      <c r="E44" s="15" t="s">
        <v>463</v>
      </c>
      <c r="F44" s="15" t="s">
        <v>7</v>
      </c>
      <c r="G44" s="15" t="s">
        <v>7</v>
      </c>
      <c r="H44" s="15" t="s">
        <v>285</v>
      </c>
      <c r="I44" s="15" t="s">
        <v>286</v>
      </c>
      <c r="J44" s="15"/>
      <c r="K44" s="15" t="s">
        <v>464</v>
      </c>
      <c r="L44" s="15" t="s">
        <v>465</v>
      </c>
    </row>
    <row r="45" customFormat="false" ht="42" hidden="false" customHeight="true" outlineLevel="0" collapsed="false">
      <c r="A45" s="15" t="s">
        <v>466</v>
      </c>
      <c r="B45" s="15" t="s">
        <v>236</v>
      </c>
      <c r="C45" s="15" t="s">
        <v>322</v>
      </c>
      <c r="D45" s="15" t="s">
        <v>467</v>
      </c>
      <c r="E45" s="15" t="s">
        <v>468</v>
      </c>
      <c r="F45" s="15" t="s">
        <v>7</v>
      </c>
      <c r="G45" s="15" t="s">
        <v>7</v>
      </c>
      <c r="H45" s="15" t="s">
        <v>285</v>
      </c>
      <c r="I45" s="15" t="s">
        <v>286</v>
      </c>
      <c r="J45" s="15"/>
      <c r="K45" s="15" t="s">
        <v>469</v>
      </c>
      <c r="L45" s="15"/>
    </row>
    <row r="46" customFormat="false" ht="28.5" hidden="false" customHeight="true" outlineLevel="0" collapsed="false">
      <c r="A46" s="15" t="s">
        <v>470</v>
      </c>
      <c r="B46" s="15" t="s">
        <v>236</v>
      </c>
      <c r="C46" s="15" t="s">
        <v>322</v>
      </c>
      <c r="D46" s="15" t="s">
        <v>471</v>
      </c>
      <c r="E46" s="15" t="s">
        <v>472</v>
      </c>
      <c r="F46" s="15" t="s">
        <v>7</v>
      </c>
      <c r="G46" s="15" t="s">
        <v>7</v>
      </c>
      <c r="H46" s="15" t="s">
        <v>285</v>
      </c>
      <c r="I46" s="15" t="s">
        <v>286</v>
      </c>
      <c r="J46" s="15"/>
      <c r="K46" s="15" t="s">
        <v>473</v>
      </c>
      <c r="L46" s="15"/>
    </row>
    <row r="47" customFormat="false" ht="54.75" hidden="false" customHeight="true" outlineLevel="0" collapsed="false">
      <c r="A47" s="15" t="s">
        <v>474</v>
      </c>
      <c r="B47" s="15" t="s">
        <v>236</v>
      </c>
      <c r="C47" s="15" t="s">
        <v>322</v>
      </c>
      <c r="D47" s="15" t="s">
        <v>475</v>
      </c>
      <c r="E47" s="15" t="s">
        <v>476</v>
      </c>
      <c r="F47" s="15" t="s">
        <v>7</v>
      </c>
      <c r="G47" s="15" t="s">
        <v>7</v>
      </c>
      <c r="H47" s="15" t="s">
        <v>285</v>
      </c>
      <c r="I47" s="15" t="s">
        <v>286</v>
      </c>
      <c r="J47" s="15"/>
      <c r="K47" s="15" t="s">
        <v>477</v>
      </c>
      <c r="L47" s="15"/>
    </row>
    <row r="48" customFormat="false" ht="67.5" hidden="false" customHeight="true" outlineLevel="0" collapsed="false">
      <c r="A48" s="15" t="s">
        <v>478</v>
      </c>
      <c r="B48" s="15" t="s">
        <v>236</v>
      </c>
      <c r="C48" s="15" t="s">
        <v>322</v>
      </c>
      <c r="D48" s="15" t="s">
        <v>479</v>
      </c>
      <c r="E48" s="15" t="s">
        <v>480</v>
      </c>
      <c r="F48" s="15" t="s">
        <v>7</v>
      </c>
      <c r="G48" s="15" t="s">
        <v>7</v>
      </c>
      <c r="H48" s="15" t="s">
        <v>285</v>
      </c>
      <c r="I48" s="15" t="s">
        <v>286</v>
      </c>
      <c r="J48" s="15"/>
      <c r="K48" s="15" t="s">
        <v>481</v>
      </c>
      <c r="L48" s="15" t="s">
        <v>482</v>
      </c>
    </row>
    <row r="49" customFormat="false" ht="28.5" hidden="false" customHeight="true" outlineLevel="0" collapsed="false">
      <c r="A49" s="15" t="s">
        <v>483</v>
      </c>
      <c r="B49" s="15" t="s">
        <v>236</v>
      </c>
      <c r="C49" s="15" t="s">
        <v>322</v>
      </c>
      <c r="D49" s="15" t="s">
        <v>484</v>
      </c>
      <c r="E49" s="15" t="s">
        <v>485</v>
      </c>
      <c r="F49" s="15" t="s">
        <v>7</v>
      </c>
      <c r="G49" s="15" t="s">
        <v>7</v>
      </c>
      <c r="H49" s="15" t="s">
        <v>285</v>
      </c>
      <c r="I49" s="15" t="s">
        <v>286</v>
      </c>
      <c r="J49" s="15"/>
      <c r="K49" s="15" t="s">
        <v>486</v>
      </c>
      <c r="L49" s="15"/>
    </row>
    <row r="50" customFormat="false" ht="54.75" hidden="false" customHeight="true" outlineLevel="0" collapsed="false">
      <c r="A50" s="15" t="s">
        <v>487</v>
      </c>
      <c r="B50" s="15" t="s">
        <v>236</v>
      </c>
      <c r="C50" s="15" t="s">
        <v>322</v>
      </c>
      <c r="D50" s="15" t="s">
        <v>488</v>
      </c>
      <c r="E50" s="15" t="s">
        <v>489</v>
      </c>
      <c r="F50" s="15" t="s">
        <v>7</v>
      </c>
      <c r="G50" s="15" t="s">
        <v>7</v>
      </c>
      <c r="H50" s="15" t="s">
        <v>285</v>
      </c>
      <c r="I50" s="15" t="s">
        <v>286</v>
      </c>
      <c r="J50" s="15"/>
      <c r="K50" s="15" t="s">
        <v>490</v>
      </c>
      <c r="L50" s="15" t="s">
        <v>491</v>
      </c>
    </row>
    <row r="51" customFormat="false" ht="67.5" hidden="false" customHeight="true" outlineLevel="0" collapsed="false">
      <c r="A51" s="15" t="s">
        <v>492</v>
      </c>
      <c r="B51" s="15" t="s">
        <v>236</v>
      </c>
      <c r="C51" s="15" t="s">
        <v>267</v>
      </c>
      <c r="D51" s="15" t="s">
        <v>493</v>
      </c>
      <c r="E51" s="15" t="s">
        <v>494</v>
      </c>
      <c r="F51" s="15" t="s">
        <v>11</v>
      </c>
      <c r="G51" s="15" t="s">
        <v>7</v>
      </c>
      <c r="H51" s="15" t="s">
        <v>495</v>
      </c>
      <c r="I51" s="15" t="s">
        <v>84</v>
      </c>
      <c r="J51" s="15" t="s">
        <v>496</v>
      </c>
      <c r="K51" s="15" t="s">
        <v>497</v>
      </c>
      <c r="L51" s="15" t="s">
        <v>498</v>
      </c>
    </row>
    <row r="52" customFormat="false" ht="42" hidden="false" customHeight="true" outlineLevel="0" collapsed="false">
      <c r="A52" s="15" t="s">
        <v>499</v>
      </c>
      <c r="B52" s="15" t="s">
        <v>236</v>
      </c>
      <c r="C52" s="15" t="s">
        <v>267</v>
      </c>
      <c r="D52" s="15" t="s">
        <v>500</v>
      </c>
      <c r="E52" s="15" t="s">
        <v>501</v>
      </c>
      <c r="F52" s="15" t="s">
        <v>11</v>
      </c>
      <c r="G52" s="15" t="s">
        <v>7</v>
      </c>
      <c r="H52" s="15" t="s">
        <v>502</v>
      </c>
      <c r="I52" s="15" t="s">
        <v>84</v>
      </c>
      <c r="J52" s="15" t="s">
        <v>503</v>
      </c>
      <c r="K52" s="15" t="s">
        <v>504</v>
      </c>
      <c r="L52" s="15" t="s">
        <v>505</v>
      </c>
    </row>
    <row r="53" customFormat="false" ht="28.5" hidden="false" customHeight="true" outlineLevel="0" collapsed="false">
      <c r="A53" s="15" t="s">
        <v>506</v>
      </c>
      <c r="B53" s="15" t="s">
        <v>236</v>
      </c>
      <c r="C53" s="15" t="s">
        <v>267</v>
      </c>
      <c r="D53" s="15" t="s">
        <v>507</v>
      </c>
      <c r="E53" s="15" t="s">
        <v>508</v>
      </c>
      <c r="F53" s="15" t="s">
        <v>11</v>
      </c>
      <c r="G53" s="15" t="s">
        <v>7</v>
      </c>
      <c r="H53" s="15" t="s">
        <v>509</v>
      </c>
      <c r="I53" s="15" t="s">
        <v>84</v>
      </c>
      <c r="J53" s="15" t="s">
        <v>510</v>
      </c>
      <c r="K53" s="15" t="s">
        <v>511</v>
      </c>
      <c r="L53" s="15" t="s">
        <v>512</v>
      </c>
    </row>
    <row r="54" customFormat="false" ht="28.5" hidden="false" customHeight="true" outlineLevel="0" collapsed="false">
      <c r="A54" s="15" t="s">
        <v>513</v>
      </c>
      <c r="B54" s="15" t="s">
        <v>236</v>
      </c>
      <c r="C54" s="15" t="s">
        <v>267</v>
      </c>
      <c r="D54" s="15" t="s">
        <v>514</v>
      </c>
      <c r="E54" s="15" t="s">
        <v>515</v>
      </c>
      <c r="F54" s="15" t="s">
        <v>11</v>
      </c>
      <c r="G54" s="15" t="s">
        <v>7</v>
      </c>
      <c r="H54" s="15" t="s">
        <v>516</v>
      </c>
      <c r="I54" s="15" t="s">
        <v>84</v>
      </c>
      <c r="J54" s="15" t="s">
        <v>517</v>
      </c>
      <c r="K54" s="15" t="s">
        <v>518</v>
      </c>
      <c r="L54" s="15" t="s">
        <v>519</v>
      </c>
    </row>
    <row r="55" customFormat="false" ht="28.5" hidden="false" customHeight="true" outlineLevel="0" collapsed="false">
      <c r="A55" s="15" t="s">
        <v>520</v>
      </c>
      <c r="B55" s="15" t="s">
        <v>236</v>
      </c>
      <c r="C55" s="15" t="s">
        <v>267</v>
      </c>
      <c r="D55" s="15" t="s">
        <v>521</v>
      </c>
      <c r="E55" s="15" t="s">
        <v>522</v>
      </c>
      <c r="F55" s="15" t="s">
        <v>11</v>
      </c>
      <c r="G55" s="15" t="s">
        <v>7</v>
      </c>
      <c r="H55" s="15" t="s">
        <v>523</v>
      </c>
      <c r="I55" s="15" t="s">
        <v>84</v>
      </c>
      <c r="J55" s="15" t="s">
        <v>524</v>
      </c>
      <c r="K55" s="15" t="s">
        <v>525</v>
      </c>
      <c r="L55" s="15"/>
    </row>
    <row r="56" customFormat="false" ht="28.5" hidden="false" customHeight="true" outlineLevel="0" collapsed="false">
      <c r="A56" s="15" t="s">
        <v>526</v>
      </c>
      <c r="B56" s="15" t="s">
        <v>236</v>
      </c>
      <c r="C56" s="15" t="s">
        <v>267</v>
      </c>
      <c r="D56" s="15" t="s">
        <v>527</v>
      </c>
      <c r="E56" s="15" t="s">
        <v>528</v>
      </c>
      <c r="F56" s="15" t="s">
        <v>11</v>
      </c>
      <c r="G56" s="15" t="s">
        <v>7</v>
      </c>
      <c r="H56" s="15" t="s">
        <v>529</v>
      </c>
      <c r="I56" s="15" t="s">
        <v>84</v>
      </c>
      <c r="J56" s="15" t="s">
        <v>530</v>
      </c>
      <c r="K56" s="15" t="s">
        <v>531</v>
      </c>
      <c r="L56" s="15"/>
    </row>
    <row r="57" customFormat="false" ht="28.5" hidden="false" customHeight="true" outlineLevel="0" collapsed="false">
      <c r="A57" s="15" t="s">
        <v>532</v>
      </c>
      <c r="B57" s="15" t="s">
        <v>236</v>
      </c>
      <c r="C57" s="15" t="s">
        <v>267</v>
      </c>
      <c r="D57" s="15" t="s">
        <v>533</v>
      </c>
      <c r="E57" s="15" t="s">
        <v>534</v>
      </c>
      <c r="F57" s="15" t="s">
        <v>11</v>
      </c>
      <c r="G57" s="15" t="s">
        <v>7</v>
      </c>
      <c r="H57" s="15" t="s">
        <v>535</v>
      </c>
      <c r="I57" s="15" t="s">
        <v>84</v>
      </c>
      <c r="J57" s="15" t="s">
        <v>536</v>
      </c>
      <c r="K57" s="15" t="s">
        <v>537</v>
      </c>
      <c r="L57" s="15"/>
    </row>
    <row r="58" customFormat="false" ht="28.5" hidden="false" customHeight="true" outlineLevel="0" collapsed="false">
      <c r="A58" s="15" t="s">
        <v>538</v>
      </c>
      <c r="B58" s="15" t="s">
        <v>236</v>
      </c>
      <c r="C58" s="15" t="s">
        <v>267</v>
      </c>
      <c r="D58" s="15" t="s">
        <v>539</v>
      </c>
      <c r="E58" s="15" t="s">
        <v>540</v>
      </c>
      <c r="F58" s="15" t="s">
        <v>11</v>
      </c>
      <c r="G58" s="15" t="s">
        <v>7</v>
      </c>
      <c r="H58" s="15" t="s">
        <v>541</v>
      </c>
      <c r="I58" s="15" t="s">
        <v>84</v>
      </c>
      <c r="J58" s="15" t="s">
        <v>542</v>
      </c>
      <c r="K58" s="15" t="s">
        <v>543</v>
      </c>
      <c r="L58" s="15"/>
    </row>
    <row r="59" customFormat="false" ht="15.75" hidden="false" customHeight="true" outlineLevel="0" collapsed="false">
      <c r="A59" s="15" t="s">
        <v>544</v>
      </c>
      <c r="B59" s="15" t="s">
        <v>236</v>
      </c>
      <c r="C59" s="15" t="s">
        <v>267</v>
      </c>
      <c r="D59" s="15" t="s">
        <v>545</v>
      </c>
      <c r="E59" s="15" t="s">
        <v>546</v>
      </c>
      <c r="F59" s="15" t="s">
        <v>11</v>
      </c>
      <c r="G59" s="15" t="s">
        <v>7</v>
      </c>
      <c r="H59" s="15" t="s">
        <v>547</v>
      </c>
      <c r="I59" s="15" t="s">
        <v>84</v>
      </c>
      <c r="J59" s="15" t="s">
        <v>548</v>
      </c>
      <c r="K59" s="15" t="s">
        <v>549</v>
      </c>
      <c r="L59" s="15"/>
    </row>
    <row r="60" customFormat="false" ht="28.5" hidden="false" customHeight="true" outlineLevel="0" collapsed="false">
      <c r="A60" s="15" t="s">
        <v>550</v>
      </c>
      <c r="B60" s="15" t="s">
        <v>236</v>
      </c>
      <c r="C60" s="15" t="s">
        <v>267</v>
      </c>
      <c r="D60" s="15" t="s">
        <v>551</v>
      </c>
      <c r="E60" s="15" t="s">
        <v>552</v>
      </c>
      <c r="F60" s="15" t="s">
        <v>7</v>
      </c>
      <c r="G60" s="15" t="s">
        <v>7</v>
      </c>
      <c r="H60" s="15" t="s">
        <v>285</v>
      </c>
      <c r="I60" s="15" t="s">
        <v>286</v>
      </c>
      <c r="J60" s="15"/>
      <c r="K60" s="15" t="s">
        <v>553</v>
      </c>
      <c r="L60" s="15" t="s">
        <v>554</v>
      </c>
    </row>
    <row r="61" customFormat="false" ht="28.5" hidden="false" customHeight="true" outlineLevel="0" collapsed="false">
      <c r="A61" s="15" t="s">
        <v>555</v>
      </c>
      <c r="B61" s="15" t="s">
        <v>236</v>
      </c>
      <c r="C61" s="15" t="s">
        <v>267</v>
      </c>
      <c r="D61" s="15" t="s">
        <v>556</v>
      </c>
      <c r="E61" s="15" t="s">
        <v>557</v>
      </c>
      <c r="F61" s="15" t="s">
        <v>11</v>
      </c>
      <c r="G61" s="15" t="s">
        <v>7</v>
      </c>
      <c r="H61" s="15" t="s">
        <v>558</v>
      </c>
      <c r="I61" s="15" t="s">
        <v>84</v>
      </c>
      <c r="J61" s="15" t="s">
        <v>559</v>
      </c>
      <c r="K61" s="15" t="s">
        <v>560</v>
      </c>
      <c r="L61" s="15" t="s">
        <v>561</v>
      </c>
    </row>
    <row r="62" customFormat="false" ht="15.75" hidden="false" customHeight="true" outlineLevel="0" collapsed="false">
      <c r="A62" s="15" t="s">
        <v>562</v>
      </c>
      <c r="B62" s="15" t="s">
        <v>236</v>
      </c>
      <c r="C62" s="15" t="s">
        <v>267</v>
      </c>
      <c r="D62" s="15" t="s">
        <v>563</v>
      </c>
      <c r="E62" s="15" t="s">
        <v>564</v>
      </c>
      <c r="F62" s="15" t="s">
        <v>11</v>
      </c>
      <c r="G62" s="15" t="s">
        <v>7</v>
      </c>
      <c r="H62" s="15" t="s">
        <v>565</v>
      </c>
      <c r="I62" s="15" t="s">
        <v>84</v>
      </c>
      <c r="J62" s="15" t="s">
        <v>566</v>
      </c>
      <c r="K62" s="15" t="s">
        <v>567</v>
      </c>
      <c r="L62" s="15"/>
    </row>
    <row r="63" customFormat="false" ht="42" hidden="false" customHeight="true" outlineLevel="0" collapsed="false">
      <c r="A63" s="15" t="s">
        <v>568</v>
      </c>
      <c r="B63" s="15" t="s">
        <v>236</v>
      </c>
      <c r="C63" s="15" t="s">
        <v>267</v>
      </c>
      <c r="D63" s="15" t="s">
        <v>569</v>
      </c>
      <c r="E63" s="15" t="s">
        <v>570</v>
      </c>
      <c r="F63" s="15" t="s">
        <v>11</v>
      </c>
      <c r="G63" s="15" t="s">
        <v>7</v>
      </c>
      <c r="H63" s="15" t="s">
        <v>571</v>
      </c>
      <c r="I63" s="15" t="s">
        <v>84</v>
      </c>
      <c r="J63" s="15" t="s">
        <v>572</v>
      </c>
      <c r="K63" s="15" t="s">
        <v>573</v>
      </c>
      <c r="L63" s="15"/>
    </row>
    <row r="64" customFormat="false" ht="28.5" hidden="false" customHeight="true" outlineLevel="0" collapsed="false">
      <c r="A64" s="15" t="s">
        <v>574</v>
      </c>
      <c r="B64" s="15" t="s">
        <v>236</v>
      </c>
      <c r="C64" s="15" t="s">
        <v>267</v>
      </c>
      <c r="D64" s="15" t="s">
        <v>575</v>
      </c>
      <c r="E64" s="15" t="s">
        <v>576</v>
      </c>
      <c r="F64" s="15" t="s">
        <v>11</v>
      </c>
      <c r="G64" s="15" t="s">
        <v>7</v>
      </c>
      <c r="H64" s="15" t="s">
        <v>577</v>
      </c>
      <c r="I64" s="15" t="s">
        <v>84</v>
      </c>
      <c r="J64" s="15" t="s">
        <v>578</v>
      </c>
      <c r="K64" s="15" t="s">
        <v>579</v>
      </c>
      <c r="L64" s="15"/>
    </row>
    <row r="65" customFormat="false" ht="42" hidden="false" customHeight="true" outlineLevel="0" collapsed="false">
      <c r="A65" s="15" t="s">
        <v>580</v>
      </c>
      <c r="B65" s="15" t="s">
        <v>236</v>
      </c>
      <c r="C65" s="15" t="s">
        <v>267</v>
      </c>
      <c r="D65" s="15" t="s">
        <v>581</v>
      </c>
      <c r="E65" s="15" t="s">
        <v>582</v>
      </c>
      <c r="F65" s="15" t="s">
        <v>11</v>
      </c>
      <c r="G65" s="15" t="s">
        <v>7</v>
      </c>
      <c r="H65" s="15" t="s">
        <v>583</v>
      </c>
      <c r="I65" s="15" t="s">
        <v>84</v>
      </c>
      <c r="J65" s="15" t="s">
        <v>584</v>
      </c>
      <c r="K65" s="15" t="s">
        <v>585</v>
      </c>
      <c r="L65" s="15" t="s">
        <v>586</v>
      </c>
    </row>
    <row r="66" customFormat="false" ht="28.5" hidden="false" customHeight="true" outlineLevel="0" collapsed="false">
      <c r="A66" s="15" t="s">
        <v>587</v>
      </c>
      <c r="B66" s="15" t="s">
        <v>236</v>
      </c>
      <c r="C66" s="15" t="s">
        <v>344</v>
      </c>
      <c r="D66" s="15"/>
      <c r="E66" s="15" t="s">
        <v>588</v>
      </c>
      <c r="F66" s="15" t="s">
        <v>11</v>
      </c>
      <c r="G66" s="15" t="s">
        <v>7</v>
      </c>
      <c r="H66" s="15" t="s">
        <v>589</v>
      </c>
      <c r="I66" s="15" t="s">
        <v>84</v>
      </c>
      <c r="J66" s="15" t="s">
        <v>590</v>
      </c>
      <c r="K66" s="15" t="s">
        <v>591</v>
      </c>
      <c r="L66" s="15" t="s">
        <v>592</v>
      </c>
    </row>
    <row r="67" customFormat="false" ht="28.5" hidden="false" customHeight="true" outlineLevel="0" collapsed="false">
      <c r="A67" s="15" t="s">
        <v>593</v>
      </c>
      <c r="B67" s="15" t="s">
        <v>236</v>
      </c>
      <c r="C67" s="15" t="s">
        <v>344</v>
      </c>
      <c r="D67" s="15"/>
      <c r="E67" s="15" t="s">
        <v>594</v>
      </c>
      <c r="F67" s="15" t="s">
        <v>11</v>
      </c>
      <c r="G67" s="15" t="s">
        <v>7</v>
      </c>
      <c r="H67" s="15" t="s">
        <v>595</v>
      </c>
      <c r="I67" s="15" t="s">
        <v>84</v>
      </c>
      <c r="J67" s="15" t="s">
        <v>596</v>
      </c>
      <c r="K67" s="15" t="s">
        <v>597</v>
      </c>
      <c r="L67" s="15"/>
    </row>
    <row r="68" customFormat="false" ht="28.5" hidden="false" customHeight="true" outlineLevel="0" collapsed="false">
      <c r="A68" s="15" t="s">
        <v>598</v>
      </c>
      <c r="B68" s="15" t="s">
        <v>236</v>
      </c>
      <c r="C68" s="15" t="s">
        <v>344</v>
      </c>
      <c r="D68" s="15"/>
      <c r="E68" s="15" t="s">
        <v>599</v>
      </c>
      <c r="F68" s="15" t="s">
        <v>11</v>
      </c>
      <c r="G68" s="15" t="s">
        <v>7</v>
      </c>
      <c r="H68" s="15" t="s">
        <v>600</v>
      </c>
      <c r="I68" s="15" t="s">
        <v>84</v>
      </c>
      <c r="J68" s="15" t="s">
        <v>601</v>
      </c>
      <c r="K68" s="15" t="s">
        <v>602</v>
      </c>
      <c r="L68" s="15"/>
    </row>
    <row r="69" customFormat="false" ht="28.5" hidden="false" customHeight="true" outlineLevel="0" collapsed="false">
      <c r="A69" s="15" t="s">
        <v>603</v>
      </c>
      <c r="B69" s="15" t="s">
        <v>236</v>
      </c>
      <c r="C69" s="15" t="s">
        <v>344</v>
      </c>
      <c r="D69" s="15"/>
      <c r="E69" s="15" t="s">
        <v>604</v>
      </c>
      <c r="F69" s="15" t="s">
        <v>11</v>
      </c>
      <c r="G69" s="15" t="s">
        <v>7</v>
      </c>
      <c r="H69" s="15" t="s">
        <v>605</v>
      </c>
      <c r="I69" s="15" t="s">
        <v>84</v>
      </c>
      <c r="J69" s="15" t="s">
        <v>606</v>
      </c>
      <c r="K69" s="15" t="s">
        <v>607</v>
      </c>
      <c r="L69" s="15"/>
    </row>
    <row r="70" customFormat="false" ht="28.5" hidden="false" customHeight="true" outlineLevel="0" collapsed="false">
      <c r="A70" s="15" t="s">
        <v>608</v>
      </c>
      <c r="B70" s="15" t="s">
        <v>236</v>
      </c>
      <c r="C70" s="15" t="s">
        <v>344</v>
      </c>
      <c r="D70" s="15"/>
      <c r="E70" s="15" t="s">
        <v>609</v>
      </c>
      <c r="F70" s="15" t="s">
        <v>11</v>
      </c>
      <c r="G70" s="15" t="s">
        <v>7</v>
      </c>
      <c r="H70" s="15" t="s">
        <v>610</v>
      </c>
      <c r="I70" s="15" t="s">
        <v>84</v>
      </c>
      <c r="J70" s="15" t="s">
        <v>611</v>
      </c>
      <c r="K70" s="15" t="s">
        <v>612</v>
      </c>
      <c r="L70" s="15"/>
    </row>
    <row r="71" customFormat="false" ht="28.5" hidden="false" customHeight="true" outlineLevel="0" collapsed="false">
      <c r="A71" s="15" t="s">
        <v>613</v>
      </c>
      <c r="B71" s="15" t="s">
        <v>236</v>
      </c>
      <c r="C71" s="15" t="s">
        <v>344</v>
      </c>
      <c r="D71" s="15"/>
      <c r="E71" s="15" t="s">
        <v>614</v>
      </c>
      <c r="F71" s="15" t="s">
        <v>11</v>
      </c>
      <c r="G71" s="15" t="s">
        <v>7</v>
      </c>
      <c r="H71" s="15" t="s">
        <v>615</v>
      </c>
      <c r="I71" s="15" t="s">
        <v>84</v>
      </c>
      <c r="J71" s="15" t="s">
        <v>616</v>
      </c>
      <c r="K71" s="15" t="s">
        <v>617</v>
      </c>
      <c r="L71" s="15"/>
    </row>
    <row r="72" customFormat="false" ht="42" hidden="false" customHeight="true" outlineLevel="0" collapsed="false">
      <c r="A72" s="15" t="s">
        <v>618</v>
      </c>
      <c r="B72" s="15" t="s">
        <v>260</v>
      </c>
      <c r="C72" s="15" t="s">
        <v>237</v>
      </c>
      <c r="D72" s="15" t="s">
        <v>619</v>
      </c>
      <c r="E72" s="15" t="s">
        <v>620</v>
      </c>
      <c r="F72" s="15" t="s">
        <v>11</v>
      </c>
      <c r="G72" s="15" t="s">
        <v>7</v>
      </c>
      <c r="H72" s="15" t="s">
        <v>621</v>
      </c>
      <c r="I72" s="15" t="s">
        <v>84</v>
      </c>
      <c r="J72" s="15" t="s">
        <v>622</v>
      </c>
      <c r="K72" s="15" t="s">
        <v>623</v>
      </c>
      <c r="L72" s="15"/>
    </row>
    <row r="73" customFormat="false" ht="42" hidden="false" customHeight="true" outlineLevel="0" collapsed="false">
      <c r="A73" s="15" t="s">
        <v>624</v>
      </c>
      <c r="B73" s="15" t="s">
        <v>260</v>
      </c>
      <c r="C73" s="15" t="s">
        <v>237</v>
      </c>
      <c r="D73" s="15" t="s">
        <v>625</v>
      </c>
      <c r="E73" s="15" t="s">
        <v>626</v>
      </c>
      <c r="F73" s="15" t="s">
        <v>11</v>
      </c>
      <c r="G73" s="15" t="s">
        <v>7</v>
      </c>
      <c r="H73" s="15" t="s">
        <v>627</v>
      </c>
      <c r="I73" s="15" t="s">
        <v>84</v>
      </c>
      <c r="J73" s="15" t="s">
        <v>628</v>
      </c>
      <c r="K73" s="15" t="s">
        <v>629</v>
      </c>
      <c r="L73" s="15" t="s">
        <v>630</v>
      </c>
    </row>
    <row r="74" customFormat="false" ht="42" hidden="false" customHeight="true" outlineLevel="0" collapsed="false">
      <c r="A74" s="15" t="s">
        <v>631</v>
      </c>
      <c r="B74" s="15" t="s">
        <v>260</v>
      </c>
      <c r="C74" s="15" t="s">
        <v>237</v>
      </c>
      <c r="D74" s="15" t="s">
        <v>632</v>
      </c>
      <c r="E74" s="15" t="s">
        <v>633</v>
      </c>
      <c r="F74" s="15" t="s">
        <v>11</v>
      </c>
      <c r="G74" s="15" t="s">
        <v>7</v>
      </c>
      <c r="H74" s="15" t="s">
        <v>634</v>
      </c>
      <c r="I74" s="15" t="s">
        <v>84</v>
      </c>
      <c r="J74" s="15" t="s">
        <v>635</v>
      </c>
      <c r="K74" s="15" t="s">
        <v>636</v>
      </c>
      <c r="L74" s="15" t="s">
        <v>637</v>
      </c>
    </row>
    <row r="75" customFormat="false" ht="28.5" hidden="false" customHeight="true" outlineLevel="0" collapsed="false">
      <c r="A75" s="15" t="s">
        <v>638</v>
      </c>
      <c r="B75" s="15" t="s">
        <v>260</v>
      </c>
      <c r="C75" s="15" t="s">
        <v>237</v>
      </c>
      <c r="D75" s="15" t="s">
        <v>639</v>
      </c>
      <c r="E75" s="15" t="s">
        <v>640</v>
      </c>
      <c r="F75" s="15" t="s">
        <v>11</v>
      </c>
      <c r="G75" s="15" t="s">
        <v>7</v>
      </c>
      <c r="H75" s="15" t="s">
        <v>641</v>
      </c>
      <c r="I75" s="15" t="s">
        <v>84</v>
      </c>
      <c r="J75" s="15" t="s">
        <v>642</v>
      </c>
      <c r="K75" s="15" t="s">
        <v>643</v>
      </c>
      <c r="L75" s="15"/>
    </row>
    <row r="76" customFormat="false" ht="28.5" hidden="false" customHeight="true" outlineLevel="0" collapsed="false">
      <c r="A76" s="15" t="s">
        <v>644</v>
      </c>
      <c r="B76" s="15" t="s">
        <v>260</v>
      </c>
      <c r="C76" s="15" t="s">
        <v>237</v>
      </c>
      <c r="D76" s="15" t="s">
        <v>645</v>
      </c>
      <c r="E76" s="15" t="s">
        <v>646</v>
      </c>
      <c r="F76" s="15" t="s">
        <v>11</v>
      </c>
      <c r="G76" s="15" t="s">
        <v>7</v>
      </c>
      <c r="H76" s="15" t="s">
        <v>647</v>
      </c>
      <c r="I76" s="15" t="s">
        <v>84</v>
      </c>
      <c r="J76" s="15" t="s">
        <v>648</v>
      </c>
      <c r="K76" s="15" t="s">
        <v>649</v>
      </c>
      <c r="L76" s="15"/>
    </row>
    <row r="77" customFormat="false" ht="15.75" hidden="false" customHeight="true" outlineLevel="0" collapsed="false">
      <c r="A77" s="15" t="s">
        <v>650</v>
      </c>
      <c r="B77" s="15" t="s">
        <v>260</v>
      </c>
      <c r="C77" s="15" t="s">
        <v>237</v>
      </c>
      <c r="D77" s="15" t="s">
        <v>651</v>
      </c>
      <c r="E77" s="15" t="s">
        <v>652</v>
      </c>
      <c r="F77" s="15" t="s">
        <v>11</v>
      </c>
      <c r="G77" s="15" t="s">
        <v>7</v>
      </c>
      <c r="H77" s="15" t="s">
        <v>653</v>
      </c>
      <c r="I77" s="15" t="s">
        <v>84</v>
      </c>
      <c r="J77" s="15" t="s">
        <v>654</v>
      </c>
      <c r="K77" s="15" t="s">
        <v>655</v>
      </c>
      <c r="L77" s="15"/>
    </row>
    <row r="78" customFormat="false" ht="42" hidden="false" customHeight="true" outlineLevel="0" collapsed="false">
      <c r="A78" s="15" t="s">
        <v>656</v>
      </c>
      <c r="B78" s="15" t="s">
        <v>260</v>
      </c>
      <c r="C78" s="15" t="s">
        <v>237</v>
      </c>
      <c r="D78" s="15" t="s">
        <v>657</v>
      </c>
      <c r="E78" s="15" t="s">
        <v>658</v>
      </c>
      <c r="F78" s="15" t="s">
        <v>11</v>
      </c>
      <c r="G78" s="15" t="s">
        <v>7</v>
      </c>
      <c r="H78" s="15" t="s">
        <v>659</v>
      </c>
      <c r="I78" s="15" t="s">
        <v>84</v>
      </c>
      <c r="J78" s="15" t="s">
        <v>660</v>
      </c>
      <c r="K78" s="15" t="s">
        <v>661</v>
      </c>
      <c r="L78" s="15"/>
    </row>
    <row r="79" customFormat="false" ht="42" hidden="false" customHeight="true" outlineLevel="0" collapsed="false">
      <c r="A79" s="15" t="s">
        <v>662</v>
      </c>
      <c r="B79" s="15" t="s">
        <v>260</v>
      </c>
      <c r="C79" s="15" t="s">
        <v>237</v>
      </c>
      <c r="D79" s="15" t="s">
        <v>663</v>
      </c>
      <c r="E79" s="15" t="s">
        <v>664</v>
      </c>
      <c r="F79" s="15" t="s">
        <v>11</v>
      </c>
      <c r="G79" s="15" t="s">
        <v>7</v>
      </c>
      <c r="H79" s="15" t="s">
        <v>665</v>
      </c>
      <c r="I79" s="15" t="s">
        <v>84</v>
      </c>
      <c r="J79" s="15" t="s">
        <v>666</v>
      </c>
      <c r="K79" s="15" t="s">
        <v>667</v>
      </c>
      <c r="L79" s="15"/>
    </row>
    <row r="80" customFormat="false" ht="42" hidden="false" customHeight="true" outlineLevel="0" collapsed="false">
      <c r="A80" s="15" t="s">
        <v>668</v>
      </c>
      <c r="B80" s="15" t="s">
        <v>260</v>
      </c>
      <c r="C80" s="15" t="s">
        <v>237</v>
      </c>
      <c r="D80" s="15" t="s">
        <v>669</v>
      </c>
      <c r="E80" s="15" t="s">
        <v>670</v>
      </c>
      <c r="F80" s="15" t="s">
        <v>11</v>
      </c>
      <c r="G80" s="15" t="s">
        <v>7</v>
      </c>
      <c r="H80" s="15" t="s">
        <v>671</v>
      </c>
      <c r="I80" s="15" t="s">
        <v>84</v>
      </c>
      <c r="J80" s="15" t="s">
        <v>672</v>
      </c>
      <c r="K80" s="15" t="s">
        <v>673</v>
      </c>
      <c r="L80" s="15" t="s">
        <v>674</v>
      </c>
    </row>
    <row r="81" customFormat="false" ht="42" hidden="false" customHeight="true" outlineLevel="0" collapsed="false">
      <c r="A81" s="15" t="s">
        <v>675</v>
      </c>
      <c r="B81" s="15" t="s">
        <v>260</v>
      </c>
      <c r="C81" s="15" t="s">
        <v>237</v>
      </c>
      <c r="D81" s="15" t="s">
        <v>676</v>
      </c>
      <c r="E81" s="15" t="s">
        <v>677</v>
      </c>
      <c r="F81" s="15" t="s">
        <v>11</v>
      </c>
      <c r="G81" s="15" t="s">
        <v>7</v>
      </c>
      <c r="H81" s="15" t="s">
        <v>678</v>
      </c>
      <c r="I81" s="15" t="s">
        <v>84</v>
      </c>
      <c r="J81" s="15" t="s">
        <v>679</v>
      </c>
      <c r="K81" s="15" t="s">
        <v>680</v>
      </c>
      <c r="L81" s="15"/>
    </row>
    <row r="82" customFormat="false" ht="28.5" hidden="false" customHeight="true" outlineLevel="0" collapsed="false">
      <c r="A82" s="15" t="s">
        <v>681</v>
      </c>
      <c r="B82" s="15" t="s">
        <v>260</v>
      </c>
      <c r="C82" s="15" t="s">
        <v>252</v>
      </c>
      <c r="D82" s="15" t="s">
        <v>682</v>
      </c>
      <c r="E82" s="15" t="s">
        <v>683</v>
      </c>
      <c r="F82" s="15" t="s">
        <v>7</v>
      </c>
      <c r="G82" s="15" t="s">
        <v>7</v>
      </c>
      <c r="H82" s="15" t="s">
        <v>285</v>
      </c>
      <c r="I82" s="15" t="s">
        <v>286</v>
      </c>
      <c r="J82" s="15"/>
      <c r="K82" s="15" t="s">
        <v>684</v>
      </c>
      <c r="L82" s="15"/>
    </row>
    <row r="83" customFormat="false" ht="42" hidden="false" customHeight="true" outlineLevel="0" collapsed="false">
      <c r="A83" s="15" t="s">
        <v>685</v>
      </c>
      <c r="B83" s="15" t="s">
        <v>260</v>
      </c>
      <c r="C83" s="15" t="s">
        <v>252</v>
      </c>
      <c r="D83" s="15" t="s">
        <v>393</v>
      </c>
      <c r="E83" s="15" t="s">
        <v>686</v>
      </c>
      <c r="F83" s="15" t="s">
        <v>7</v>
      </c>
      <c r="G83" s="15" t="s">
        <v>7</v>
      </c>
      <c r="H83" s="15" t="s">
        <v>285</v>
      </c>
      <c r="I83" s="15" t="s">
        <v>286</v>
      </c>
      <c r="J83" s="15"/>
      <c r="K83" s="15" t="s">
        <v>687</v>
      </c>
      <c r="L83" s="15"/>
    </row>
    <row r="84" customFormat="false" ht="42" hidden="false" customHeight="true" outlineLevel="0" collapsed="false">
      <c r="A84" s="15" t="s">
        <v>688</v>
      </c>
      <c r="B84" s="15" t="s">
        <v>260</v>
      </c>
      <c r="C84" s="15" t="s">
        <v>252</v>
      </c>
      <c r="D84" s="15" t="s">
        <v>689</v>
      </c>
      <c r="E84" s="15" t="s">
        <v>690</v>
      </c>
      <c r="F84" s="15" t="s">
        <v>7</v>
      </c>
      <c r="G84" s="15" t="s">
        <v>7</v>
      </c>
      <c r="H84" s="15" t="s">
        <v>285</v>
      </c>
      <c r="I84" s="15" t="s">
        <v>286</v>
      </c>
      <c r="J84" s="15"/>
      <c r="K84" s="15" t="s">
        <v>691</v>
      </c>
      <c r="L84" s="15" t="s">
        <v>692</v>
      </c>
    </row>
    <row r="85" customFormat="false" ht="28.5" hidden="false" customHeight="true" outlineLevel="0" collapsed="false">
      <c r="A85" s="15" t="s">
        <v>693</v>
      </c>
      <c r="B85" s="15" t="s">
        <v>260</v>
      </c>
      <c r="C85" s="15" t="s">
        <v>252</v>
      </c>
      <c r="D85" s="15" t="s">
        <v>694</v>
      </c>
      <c r="E85" s="15" t="s">
        <v>695</v>
      </c>
      <c r="F85" s="15" t="s">
        <v>7</v>
      </c>
      <c r="G85" s="15" t="s">
        <v>7</v>
      </c>
      <c r="H85" s="15" t="s">
        <v>285</v>
      </c>
      <c r="I85" s="15" t="s">
        <v>286</v>
      </c>
      <c r="J85" s="15"/>
      <c r="K85" s="15" t="s">
        <v>696</v>
      </c>
      <c r="L85" s="15"/>
    </row>
    <row r="86" customFormat="false" ht="42" hidden="false" customHeight="true" outlineLevel="0" collapsed="false">
      <c r="A86" s="15" t="s">
        <v>697</v>
      </c>
      <c r="B86" s="15" t="s">
        <v>260</v>
      </c>
      <c r="C86" s="15" t="s">
        <v>252</v>
      </c>
      <c r="D86" s="15" t="s">
        <v>694</v>
      </c>
      <c r="E86" s="15" t="s">
        <v>698</v>
      </c>
      <c r="F86" s="15" t="s">
        <v>7</v>
      </c>
      <c r="G86" s="15" t="s">
        <v>7</v>
      </c>
      <c r="H86" s="15" t="s">
        <v>285</v>
      </c>
      <c r="I86" s="15" t="s">
        <v>286</v>
      </c>
      <c r="J86" s="15"/>
      <c r="K86" s="15" t="s">
        <v>699</v>
      </c>
      <c r="L86" s="15" t="s">
        <v>700</v>
      </c>
    </row>
    <row r="87" customFormat="false" ht="42" hidden="false" customHeight="true" outlineLevel="0" collapsed="false">
      <c r="A87" s="15" t="s">
        <v>701</v>
      </c>
      <c r="B87" s="15" t="s">
        <v>260</v>
      </c>
      <c r="C87" s="15" t="s">
        <v>252</v>
      </c>
      <c r="D87" s="15" t="s">
        <v>702</v>
      </c>
      <c r="E87" s="15" t="s">
        <v>703</v>
      </c>
      <c r="F87" s="15" t="s">
        <v>7</v>
      </c>
      <c r="G87" s="15" t="s">
        <v>7</v>
      </c>
      <c r="H87" s="15" t="s">
        <v>285</v>
      </c>
      <c r="I87" s="15" t="s">
        <v>286</v>
      </c>
      <c r="J87" s="15"/>
      <c r="K87" s="15" t="s">
        <v>704</v>
      </c>
      <c r="L87" s="15" t="s">
        <v>705</v>
      </c>
    </row>
    <row r="88" customFormat="false" ht="42" hidden="false" customHeight="true" outlineLevel="0" collapsed="false">
      <c r="A88" s="15" t="s">
        <v>706</v>
      </c>
      <c r="B88" s="15" t="s">
        <v>260</v>
      </c>
      <c r="C88" s="15" t="s">
        <v>252</v>
      </c>
      <c r="D88" s="15" t="s">
        <v>707</v>
      </c>
      <c r="E88" s="15" t="s">
        <v>708</v>
      </c>
      <c r="F88" s="15" t="s">
        <v>7</v>
      </c>
      <c r="G88" s="15" t="s">
        <v>7</v>
      </c>
      <c r="H88" s="15" t="s">
        <v>285</v>
      </c>
      <c r="I88" s="15" t="s">
        <v>286</v>
      </c>
      <c r="J88" s="15"/>
      <c r="K88" s="15" t="s">
        <v>709</v>
      </c>
      <c r="L88" s="15"/>
    </row>
    <row r="89" customFormat="false" ht="54.75" hidden="false" customHeight="true" outlineLevel="0" collapsed="false">
      <c r="A89" s="15" t="s">
        <v>710</v>
      </c>
      <c r="B89" s="15" t="s">
        <v>260</v>
      </c>
      <c r="C89" s="15" t="s">
        <v>252</v>
      </c>
      <c r="D89" s="15" t="s">
        <v>711</v>
      </c>
      <c r="E89" s="15" t="s">
        <v>712</v>
      </c>
      <c r="F89" s="15" t="s">
        <v>9</v>
      </c>
      <c r="G89" s="15" t="s">
        <v>7</v>
      </c>
      <c r="H89" s="15" t="s">
        <v>713</v>
      </c>
      <c r="I89" s="15" t="s">
        <v>84</v>
      </c>
      <c r="J89" s="15" t="s">
        <v>714</v>
      </c>
      <c r="K89" s="15" t="s">
        <v>715</v>
      </c>
      <c r="L89" s="15" t="s">
        <v>716</v>
      </c>
    </row>
    <row r="90" customFormat="false" ht="42" hidden="false" customHeight="true" outlineLevel="0" collapsed="false">
      <c r="A90" s="15" t="s">
        <v>717</v>
      </c>
      <c r="B90" s="15" t="s">
        <v>260</v>
      </c>
      <c r="C90" s="15" t="s">
        <v>252</v>
      </c>
      <c r="D90" s="15" t="s">
        <v>718</v>
      </c>
      <c r="E90" s="15" t="s">
        <v>719</v>
      </c>
      <c r="F90" s="15" t="s">
        <v>7</v>
      </c>
      <c r="G90" s="15" t="s">
        <v>7</v>
      </c>
      <c r="H90" s="15" t="s">
        <v>285</v>
      </c>
      <c r="I90" s="15" t="s">
        <v>286</v>
      </c>
      <c r="J90" s="15"/>
      <c r="K90" s="15" t="s">
        <v>720</v>
      </c>
      <c r="L90" s="15" t="s">
        <v>721</v>
      </c>
    </row>
    <row r="91" customFormat="false" ht="28.5" hidden="false" customHeight="true" outlineLevel="0" collapsed="false">
      <c r="A91" s="15" t="s">
        <v>722</v>
      </c>
      <c r="B91" s="15" t="s">
        <v>260</v>
      </c>
      <c r="C91" s="15" t="s">
        <v>322</v>
      </c>
      <c r="D91" s="15"/>
      <c r="E91" s="15" t="s">
        <v>723</v>
      </c>
      <c r="F91" s="15" t="s">
        <v>7</v>
      </c>
      <c r="G91" s="15" t="s">
        <v>7</v>
      </c>
      <c r="H91" s="15" t="s">
        <v>285</v>
      </c>
      <c r="I91" s="15" t="s">
        <v>286</v>
      </c>
      <c r="J91" s="15"/>
      <c r="K91" s="15" t="s">
        <v>724</v>
      </c>
      <c r="L91" s="15"/>
    </row>
    <row r="92" customFormat="false" ht="42" hidden="false" customHeight="true" outlineLevel="0" collapsed="false">
      <c r="A92" s="15" t="s">
        <v>725</v>
      </c>
      <c r="B92" s="15" t="s">
        <v>260</v>
      </c>
      <c r="C92" s="15" t="s">
        <v>322</v>
      </c>
      <c r="D92" s="15"/>
      <c r="E92" s="15" t="s">
        <v>726</v>
      </c>
      <c r="F92" s="15" t="s">
        <v>7</v>
      </c>
      <c r="G92" s="15" t="s">
        <v>7</v>
      </c>
      <c r="H92" s="15" t="s">
        <v>285</v>
      </c>
      <c r="I92" s="15" t="s">
        <v>286</v>
      </c>
      <c r="J92" s="15"/>
      <c r="K92" s="15" t="s">
        <v>727</v>
      </c>
      <c r="L92" s="15"/>
    </row>
    <row r="93" customFormat="false" ht="15.75" hidden="false" customHeight="true" outlineLevel="0" collapsed="false">
      <c r="A93" s="15" t="s">
        <v>728</v>
      </c>
      <c r="B93" s="15" t="s">
        <v>260</v>
      </c>
      <c r="C93" s="15" t="s">
        <v>322</v>
      </c>
      <c r="D93" s="15"/>
      <c r="E93" s="15" t="s">
        <v>729</v>
      </c>
      <c r="F93" s="15" t="s">
        <v>7</v>
      </c>
      <c r="G93" s="15" t="s">
        <v>7</v>
      </c>
      <c r="H93" s="15" t="s">
        <v>285</v>
      </c>
      <c r="I93" s="15" t="s">
        <v>286</v>
      </c>
      <c r="J93" s="15"/>
      <c r="K93" s="15" t="s">
        <v>730</v>
      </c>
      <c r="L93" s="15"/>
    </row>
    <row r="94" customFormat="false" ht="28.5" hidden="false" customHeight="true" outlineLevel="0" collapsed="false">
      <c r="A94" s="15" t="s">
        <v>731</v>
      </c>
      <c r="B94" s="15" t="s">
        <v>260</v>
      </c>
      <c r="C94" s="15" t="s">
        <v>322</v>
      </c>
      <c r="D94" s="15"/>
      <c r="E94" s="15" t="s">
        <v>732</v>
      </c>
      <c r="F94" s="15" t="s">
        <v>7</v>
      </c>
      <c r="G94" s="15" t="s">
        <v>7</v>
      </c>
      <c r="H94" s="15" t="s">
        <v>285</v>
      </c>
      <c r="I94" s="15" t="s">
        <v>286</v>
      </c>
      <c r="J94" s="15"/>
      <c r="K94" s="15" t="s">
        <v>733</v>
      </c>
      <c r="L94" s="15" t="s">
        <v>734</v>
      </c>
    </row>
    <row r="95" customFormat="false" ht="28.5" hidden="false" customHeight="true" outlineLevel="0" collapsed="false">
      <c r="A95" s="15" t="s">
        <v>735</v>
      </c>
      <c r="B95" s="15" t="s">
        <v>260</v>
      </c>
      <c r="C95" s="15" t="s">
        <v>322</v>
      </c>
      <c r="D95" s="15"/>
      <c r="E95" s="15" t="s">
        <v>736</v>
      </c>
      <c r="F95" s="15" t="s">
        <v>7</v>
      </c>
      <c r="G95" s="15" t="s">
        <v>7</v>
      </c>
      <c r="H95" s="15" t="s">
        <v>285</v>
      </c>
      <c r="I95" s="15" t="s">
        <v>286</v>
      </c>
      <c r="J95" s="15"/>
      <c r="K95" s="15" t="s">
        <v>737</v>
      </c>
      <c r="L95" s="15"/>
    </row>
    <row r="96" customFormat="false" ht="54.75" hidden="false" customHeight="true" outlineLevel="0" collapsed="false">
      <c r="A96" s="15" t="s">
        <v>738</v>
      </c>
      <c r="B96" s="15" t="s">
        <v>260</v>
      </c>
      <c r="C96" s="15" t="s">
        <v>322</v>
      </c>
      <c r="D96" s="15"/>
      <c r="E96" s="15" t="s">
        <v>739</v>
      </c>
      <c r="F96" s="15" t="s">
        <v>7</v>
      </c>
      <c r="G96" s="15" t="s">
        <v>7</v>
      </c>
      <c r="H96" s="15" t="s">
        <v>285</v>
      </c>
      <c r="I96" s="15" t="s">
        <v>286</v>
      </c>
      <c r="J96" s="15"/>
      <c r="K96" s="15" t="s">
        <v>740</v>
      </c>
      <c r="L96" s="15"/>
    </row>
    <row r="97" customFormat="false" ht="42" hidden="false" customHeight="true" outlineLevel="0" collapsed="false">
      <c r="A97" s="15" t="s">
        <v>741</v>
      </c>
      <c r="B97" s="15" t="s">
        <v>260</v>
      </c>
      <c r="C97" s="15" t="s">
        <v>322</v>
      </c>
      <c r="D97" s="15"/>
      <c r="E97" s="15" t="s">
        <v>742</v>
      </c>
      <c r="F97" s="15" t="s">
        <v>11</v>
      </c>
      <c r="G97" s="15" t="s">
        <v>7</v>
      </c>
      <c r="H97" s="15" t="s">
        <v>743</v>
      </c>
      <c r="I97" s="15" t="s">
        <v>84</v>
      </c>
      <c r="J97" s="15" t="s">
        <v>744</v>
      </c>
      <c r="K97" s="15" t="s">
        <v>745</v>
      </c>
      <c r="L97" s="15" t="s">
        <v>746</v>
      </c>
    </row>
    <row r="98" customFormat="false" ht="42" hidden="false" customHeight="true" outlineLevel="0" collapsed="false">
      <c r="A98" s="15" t="s">
        <v>747</v>
      </c>
      <c r="B98" s="15" t="s">
        <v>260</v>
      </c>
      <c r="C98" s="15" t="s">
        <v>322</v>
      </c>
      <c r="D98" s="15"/>
      <c r="E98" s="15" t="s">
        <v>748</v>
      </c>
      <c r="F98" s="15" t="s">
        <v>7</v>
      </c>
      <c r="G98" s="15" t="s">
        <v>7</v>
      </c>
      <c r="H98" s="15" t="s">
        <v>285</v>
      </c>
      <c r="I98" s="15" t="s">
        <v>286</v>
      </c>
      <c r="J98" s="15"/>
      <c r="K98" s="15" t="s">
        <v>749</v>
      </c>
      <c r="L98" s="15" t="s">
        <v>750</v>
      </c>
    </row>
    <row r="99" customFormat="false" ht="28.5" hidden="false" customHeight="true" outlineLevel="0" collapsed="false">
      <c r="A99" s="15" t="s">
        <v>751</v>
      </c>
      <c r="B99" s="15" t="s">
        <v>260</v>
      </c>
      <c r="C99" s="15" t="s">
        <v>322</v>
      </c>
      <c r="D99" s="15"/>
      <c r="E99" s="15" t="s">
        <v>752</v>
      </c>
      <c r="F99" s="15" t="s">
        <v>7</v>
      </c>
      <c r="G99" s="15" t="s">
        <v>7</v>
      </c>
      <c r="H99" s="15" t="s">
        <v>285</v>
      </c>
      <c r="I99" s="15" t="s">
        <v>286</v>
      </c>
      <c r="J99" s="15"/>
      <c r="K99" s="15" t="s">
        <v>753</v>
      </c>
      <c r="L99" s="15"/>
    </row>
    <row r="100" customFormat="false" ht="28.5" hidden="false" customHeight="true" outlineLevel="0" collapsed="false">
      <c r="A100" s="15" t="s">
        <v>754</v>
      </c>
      <c r="B100" s="15" t="s">
        <v>260</v>
      </c>
      <c r="C100" s="15" t="s">
        <v>322</v>
      </c>
      <c r="D100" s="15"/>
      <c r="E100" s="15" t="s">
        <v>755</v>
      </c>
      <c r="F100" s="15" t="s">
        <v>7</v>
      </c>
      <c r="G100" s="15" t="s">
        <v>7</v>
      </c>
      <c r="H100" s="15" t="s">
        <v>285</v>
      </c>
      <c r="I100" s="15" t="s">
        <v>286</v>
      </c>
      <c r="J100" s="15"/>
      <c r="K100" s="15" t="s">
        <v>756</v>
      </c>
      <c r="L100" s="15"/>
    </row>
    <row r="101" customFormat="false" ht="28.5" hidden="false" customHeight="true" outlineLevel="0" collapsed="false">
      <c r="A101" s="15" t="s">
        <v>757</v>
      </c>
      <c r="B101" s="15" t="s">
        <v>260</v>
      </c>
      <c r="C101" s="15" t="s">
        <v>322</v>
      </c>
      <c r="D101" s="15"/>
      <c r="E101" s="15" t="s">
        <v>758</v>
      </c>
      <c r="F101" s="15" t="s">
        <v>7</v>
      </c>
      <c r="G101" s="15" t="s">
        <v>7</v>
      </c>
      <c r="H101" s="15" t="s">
        <v>285</v>
      </c>
      <c r="I101" s="15" t="s">
        <v>286</v>
      </c>
      <c r="J101" s="15"/>
      <c r="K101" s="15" t="s">
        <v>759</v>
      </c>
      <c r="L101" s="15" t="s">
        <v>760</v>
      </c>
    </row>
    <row r="102" customFormat="false" ht="28.5" hidden="false" customHeight="true" outlineLevel="0" collapsed="false">
      <c r="A102" s="15" t="s">
        <v>761</v>
      </c>
      <c r="B102" s="15" t="s">
        <v>260</v>
      </c>
      <c r="C102" s="15" t="s">
        <v>322</v>
      </c>
      <c r="D102" s="15"/>
      <c r="E102" s="15" t="s">
        <v>762</v>
      </c>
      <c r="F102" s="15" t="s">
        <v>7</v>
      </c>
      <c r="G102" s="15" t="s">
        <v>7</v>
      </c>
      <c r="H102" s="15" t="s">
        <v>285</v>
      </c>
      <c r="I102" s="15" t="s">
        <v>286</v>
      </c>
      <c r="J102" s="15"/>
      <c r="K102" s="15" t="s">
        <v>763</v>
      </c>
      <c r="L102" s="15"/>
    </row>
    <row r="103" customFormat="false" ht="42" hidden="false" customHeight="true" outlineLevel="0" collapsed="false">
      <c r="A103" s="15" t="s">
        <v>764</v>
      </c>
      <c r="B103" s="15" t="s">
        <v>260</v>
      </c>
      <c r="C103" s="15" t="s">
        <v>322</v>
      </c>
      <c r="D103" s="15"/>
      <c r="E103" s="15" t="s">
        <v>765</v>
      </c>
      <c r="F103" s="15" t="s">
        <v>7</v>
      </c>
      <c r="G103" s="15" t="s">
        <v>7</v>
      </c>
      <c r="H103" s="15" t="s">
        <v>285</v>
      </c>
      <c r="I103" s="15" t="s">
        <v>286</v>
      </c>
      <c r="J103" s="15"/>
      <c r="K103" s="15" t="s">
        <v>766</v>
      </c>
      <c r="L103" s="15" t="s">
        <v>767</v>
      </c>
    </row>
    <row r="104" customFormat="false" ht="54.75" hidden="false" customHeight="true" outlineLevel="0" collapsed="false">
      <c r="A104" s="15" t="s">
        <v>768</v>
      </c>
      <c r="B104" s="15" t="s">
        <v>260</v>
      </c>
      <c r="C104" s="15" t="s">
        <v>322</v>
      </c>
      <c r="D104" s="15"/>
      <c r="E104" s="15" t="s">
        <v>769</v>
      </c>
      <c r="F104" s="15" t="s">
        <v>7</v>
      </c>
      <c r="G104" s="15" t="s">
        <v>7</v>
      </c>
      <c r="H104" s="15" t="s">
        <v>285</v>
      </c>
      <c r="I104" s="15" t="s">
        <v>286</v>
      </c>
      <c r="J104" s="15"/>
      <c r="K104" s="15" t="s">
        <v>770</v>
      </c>
      <c r="L104" s="15" t="s">
        <v>771</v>
      </c>
    </row>
    <row r="105" customFormat="false" ht="67.5" hidden="false" customHeight="true" outlineLevel="0" collapsed="false">
      <c r="A105" s="15" t="s">
        <v>772</v>
      </c>
      <c r="B105" s="15" t="s">
        <v>260</v>
      </c>
      <c r="C105" s="15" t="s">
        <v>322</v>
      </c>
      <c r="D105" s="15"/>
      <c r="E105" s="15" t="s">
        <v>773</v>
      </c>
      <c r="F105" s="15" t="s">
        <v>7</v>
      </c>
      <c r="G105" s="15" t="s">
        <v>7</v>
      </c>
      <c r="H105" s="15" t="s">
        <v>285</v>
      </c>
      <c r="I105" s="15" t="s">
        <v>286</v>
      </c>
      <c r="J105" s="15"/>
      <c r="K105" s="15" t="s">
        <v>774</v>
      </c>
      <c r="L105" s="15" t="s">
        <v>775</v>
      </c>
    </row>
    <row r="106" customFormat="false" ht="28.5" hidden="false" customHeight="true" outlineLevel="0" collapsed="false">
      <c r="A106" s="15" t="s">
        <v>776</v>
      </c>
      <c r="B106" s="15" t="s">
        <v>260</v>
      </c>
      <c r="C106" s="15" t="s">
        <v>267</v>
      </c>
      <c r="D106" s="15" t="s">
        <v>493</v>
      </c>
      <c r="E106" s="15" t="s">
        <v>777</v>
      </c>
      <c r="F106" s="15" t="s">
        <v>11</v>
      </c>
      <c r="G106" s="15" t="s">
        <v>7</v>
      </c>
      <c r="H106" s="15" t="s">
        <v>778</v>
      </c>
      <c r="I106" s="15" t="s">
        <v>84</v>
      </c>
      <c r="J106" s="15" t="s">
        <v>779</v>
      </c>
      <c r="K106" s="15" t="s">
        <v>780</v>
      </c>
      <c r="L106" s="15"/>
    </row>
    <row r="107" customFormat="false" ht="28.5" hidden="false" customHeight="true" outlineLevel="0" collapsed="false">
      <c r="A107" s="15" t="s">
        <v>781</v>
      </c>
      <c r="B107" s="15" t="s">
        <v>260</v>
      </c>
      <c r="C107" s="15" t="s">
        <v>267</v>
      </c>
      <c r="D107" s="15" t="s">
        <v>782</v>
      </c>
      <c r="E107" s="15" t="s">
        <v>783</v>
      </c>
      <c r="F107" s="15" t="s">
        <v>11</v>
      </c>
      <c r="G107" s="15" t="s">
        <v>7</v>
      </c>
      <c r="H107" s="15" t="s">
        <v>784</v>
      </c>
      <c r="I107" s="15" t="s">
        <v>84</v>
      </c>
      <c r="J107" s="15" t="s">
        <v>785</v>
      </c>
      <c r="K107" s="15" t="s">
        <v>786</v>
      </c>
      <c r="L107" s="15"/>
    </row>
    <row r="108" customFormat="false" ht="28.5" hidden="false" customHeight="true" outlineLevel="0" collapsed="false">
      <c r="A108" s="15" t="s">
        <v>787</v>
      </c>
      <c r="B108" s="15" t="s">
        <v>260</v>
      </c>
      <c r="C108" s="15" t="s">
        <v>267</v>
      </c>
      <c r="D108" s="15" t="s">
        <v>788</v>
      </c>
      <c r="E108" s="15" t="s">
        <v>789</v>
      </c>
      <c r="F108" s="15" t="s">
        <v>11</v>
      </c>
      <c r="G108" s="15" t="s">
        <v>7</v>
      </c>
      <c r="H108" s="15" t="s">
        <v>790</v>
      </c>
      <c r="I108" s="15" t="s">
        <v>84</v>
      </c>
      <c r="J108" s="15" t="s">
        <v>791</v>
      </c>
      <c r="K108" s="15" t="s">
        <v>792</v>
      </c>
      <c r="L108" s="15"/>
    </row>
    <row r="109" customFormat="false" ht="28.5" hidden="false" customHeight="true" outlineLevel="0" collapsed="false">
      <c r="A109" s="15" t="s">
        <v>793</v>
      </c>
      <c r="B109" s="15" t="s">
        <v>260</v>
      </c>
      <c r="C109" s="15" t="s">
        <v>267</v>
      </c>
      <c r="D109" s="15" t="s">
        <v>794</v>
      </c>
      <c r="E109" s="15" t="s">
        <v>795</v>
      </c>
      <c r="F109" s="15" t="s">
        <v>11</v>
      </c>
      <c r="G109" s="15" t="s">
        <v>7</v>
      </c>
      <c r="H109" s="15" t="s">
        <v>796</v>
      </c>
      <c r="I109" s="15" t="s">
        <v>84</v>
      </c>
      <c r="J109" s="15" t="s">
        <v>797</v>
      </c>
      <c r="K109" s="15" t="s">
        <v>798</v>
      </c>
      <c r="L109" s="15"/>
    </row>
    <row r="110" customFormat="false" ht="28.5" hidden="false" customHeight="true" outlineLevel="0" collapsed="false">
      <c r="A110" s="15" t="s">
        <v>799</v>
      </c>
      <c r="B110" s="15" t="s">
        <v>260</v>
      </c>
      <c r="C110" s="15" t="s">
        <v>267</v>
      </c>
      <c r="D110" s="15" t="s">
        <v>794</v>
      </c>
      <c r="E110" s="15" t="s">
        <v>800</v>
      </c>
      <c r="F110" s="15" t="s">
        <v>11</v>
      </c>
      <c r="G110" s="15" t="s">
        <v>7</v>
      </c>
      <c r="H110" s="15" t="s">
        <v>801</v>
      </c>
      <c r="I110" s="15" t="s">
        <v>84</v>
      </c>
      <c r="J110" s="15" t="s">
        <v>802</v>
      </c>
      <c r="K110" s="15" t="s">
        <v>803</v>
      </c>
      <c r="L110" s="15"/>
    </row>
    <row r="111" customFormat="false" ht="28.5" hidden="false" customHeight="true" outlineLevel="0" collapsed="false">
      <c r="A111" s="15" t="s">
        <v>804</v>
      </c>
      <c r="B111" s="15" t="s">
        <v>260</v>
      </c>
      <c r="C111" s="15" t="s">
        <v>267</v>
      </c>
      <c r="D111" s="15" t="s">
        <v>533</v>
      </c>
      <c r="E111" s="15" t="s">
        <v>805</v>
      </c>
      <c r="F111" s="15" t="s">
        <v>11</v>
      </c>
      <c r="G111" s="15" t="s">
        <v>7</v>
      </c>
      <c r="H111" s="15" t="s">
        <v>806</v>
      </c>
      <c r="I111" s="15" t="s">
        <v>84</v>
      </c>
      <c r="J111" s="15" t="s">
        <v>807</v>
      </c>
      <c r="K111" s="15" t="s">
        <v>808</v>
      </c>
      <c r="L111" s="15"/>
    </row>
    <row r="112" customFormat="false" ht="28.5" hidden="false" customHeight="true" outlineLevel="0" collapsed="false">
      <c r="A112" s="15" t="s">
        <v>809</v>
      </c>
      <c r="B112" s="15" t="s">
        <v>260</v>
      </c>
      <c r="C112" s="15" t="s">
        <v>267</v>
      </c>
      <c r="D112" s="15" t="s">
        <v>810</v>
      </c>
      <c r="E112" s="15" t="s">
        <v>811</v>
      </c>
      <c r="F112" s="15" t="s">
        <v>11</v>
      </c>
      <c r="G112" s="15" t="s">
        <v>7</v>
      </c>
      <c r="H112" s="15" t="s">
        <v>812</v>
      </c>
      <c r="I112" s="15" t="s">
        <v>84</v>
      </c>
      <c r="J112" s="15" t="s">
        <v>813</v>
      </c>
      <c r="K112" s="15" t="s">
        <v>814</v>
      </c>
      <c r="L112" s="15"/>
    </row>
    <row r="113" customFormat="false" ht="28.5" hidden="false" customHeight="true" outlineLevel="0" collapsed="false">
      <c r="A113" s="15" t="s">
        <v>815</v>
      </c>
      <c r="B113" s="15" t="s">
        <v>260</v>
      </c>
      <c r="C113" s="15" t="s">
        <v>267</v>
      </c>
      <c r="D113" s="15" t="s">
        <v>816</v>
      </c>
      <c r="E113" s="15" t="s">
        <v>817</v>
      </c>
      <c r="F113" s="15" t="s">
        <v>11</v>
      </c>
      <c r="G113" s="15" t="s">
        <v>7</v>
      </c>
      <c r="H113" s="15" t="s">
        <v>818</v>
      </c>
      <c r="I113" s="15" t="s">
        <v>84</v>
      </c>
      <c r="J113" s="15" t="s">
        <v>819</v>
      </c>
      <c r="K113" s="15" t="s">
        <v>820</v>
      </c>
      <c r="L113" s="15"/>
    </row>
    <row r="114" customFormat="false" ht="28.5" hidden="false" customHeight="true" outlineLevel="0" collapsed="false">
      <c r="A114" s="15" t="s">
        <v>821</v>
      </c>
      <c r="B114" s="15" t="s">
        <v>260</v>
      </c>
      <c r="C114" s="15" t="s">
        <v>267</v>
      </c>
      <c r="D114" s="15" t="s">
        <v>816</v>
      </c>
      <c r="E114" s="15" t="s">
        <v>822</v>
      </c>
      <c r="F114" s="15" t="s">
        <v>11</v>
      </c>
      <c r="G114" s="15" t="s">
        <v>7</v>
      </c>
      <c r="H114" s="15" t="s">
        <v>823</v>
      </c>
      <c r="I114" s="15" t="s">
        <v>84</v>
      </c>
      <c r="J114" s="15" t="s">
        <v>824</v>
      </c>
      <c r="K114" s="15" t="s">
        <v>825</v>
      </c>
      <c r="L114" s="15"/>
    </row>
    <row r="115" customFormat="false" ht="28.5" hidden="false" customHeight="true" outlineLevel="0" collapsed="false">
      <c r="A115" s="15" t="s">
        <v>826</v>
      </c>
      <c r="B115" s="15" t="s">
        <v>260</v>
      </c>
      <c r="C115" s="15" t="s">
        <v>267</v>
      </c>
      <c r="D115" s="15" t="s">
        <v>521</v>
      </c>
      <c r="E115" s="15" t="s">
        <v>827</v>
      </c>
      <c r="F115" s="15" t="s">
        <v>11</v>
      </c>
      <c r="G115" s="15" t="s">
        <v>7</v>
      </c>
      <c r="H115" s="15" t="s">
        <v>828</v>
      </c>
      <c r="I115" s="15" t="s">
        <v>84</v>
      </c>
      <c r="J115" s="15" t="s">
        <v>829</v>
      </c>
      <c r="K115" s="15" t="s">
        <v>830</v>
      </c>
      <c r="L115" s="15"/>
    </row>
    <row r="116" customFormat="false" ht="28.5" hidden="false" customHeight="true" outlineLevel="0" collapsed="false">
      <c r="A116" s="15" t="s">
        <v>831</v>
      </c>
      <c r="B116" s="15" t="s">
        <v>260</v>
      </c>
      <c r="C116" s="15" t="s">
        <v>267</v>
      </c>
      <c r="D116" s="15" t="s">
        <v>832</v>
      </c>
      <c r="E116" s="15" t="s">
        <v>833</v>
      </c>
      <c r="F116" s="15" t="s">
        <v>11</v>
      </c>
      <c r="G116" s="15" t="s">
        <v>7</v>
      </c>
      <c r="H116" s="15" t="s">
        <v>834</v>
      </c>
      <c r="I116" s="15" t="s">
        <v>84</v>
      </c>
      <c r="J116" s="15" t="s">
        <v>835</v>
      </c>
      <c r="K116" s="15" t="s">
        <v>836</v>
      </c>
      <c r="L116" s="15"/>
    </row>
    <row r="117" customFormat="false" ht="15.75" hidden="false" customHeight="true" outlineLevel="0" collapsed="false">
      <c r="A117" s="15" t="s">
        <v>837</v>
      </c>
      <c r="B117" s="15" t="s">
        <v>260</v>
      </c>
      <c r="C117" s="15" t="s">
        <v>267</v>
      </c>
      <c r="D117" s="15" t="s">
        <v>493</v>
      </c>
      <c r="E117" s="15" t="s">
        <v>838</v>
      </c>
      <c r="F117" s="15" t="s">
        <v>11</v>
      </c>
      <c r="G117" s="15" t="s">
        <v>7</v>
      </c>
      <c r="H117" s="15" t="s">
        <v>839</v>
      </c>
      <c r="I117" s="15" t="s">
        <v>84</v>
      </c>
      <c r="J117" s="15" t="s">
        <v>840</v>
      </c>
      <c r="K117" s="15" t="s">
        <v>841</v>
      </c>
      <c r="L117" s="15"/>
    </row>
    <row r="118" customFormat="false" ht="28.5" hidden="false" customHeight="true" outlineLevel="0" collapsed="false">
      <c r="A118" s="15" t="s">
        <v>842</v>
      </c>
      <c r="B118" s="15" t="s">
        <v>260</v>
      </c>
      <c r="C118" s="15" t="s">
        <v>267</v>
      </c>
      <c r="D118" s="15" t="s">
        <v>843</v>
      </c>
      <c r="E118" s="15" t="s">
        <v>844</v>
      </c>
      <c r="F118" s="15" t="s">
        <v>11</v>
      </c>
      <c r="G118" s="15" t="s">
        <v>7</v>
      </c>
      <c r="H118" s="15" t="s">
        <v>845</v>
      </c>
      <c r="I118" s="15" t="s">
        <v>84</v>
      </c>
      <c r="J118" s="15" t="s">
        <v>846</v>
      </c>
      <c r="K118" s="15" t="s">
        <v>847</v>
      </c>
      <c r="L118" s="15"/>
    </row>
    <row r="119" customFormat="false" ht="28.5" hidden="false" customHeight="true" outlineLevel="0" collapsed="false">
      <c r="A119" s="15" t="s">
        <v>848</v>
      </c>
      <c r="B119" s="15" t="s">
        <v>260</v>
      </c>
      <c r="C119" s="15" t="s">
        <v>267</v>
      </c>
      <c r="D119" s="15" t="s">
        <v>843</v>
      </c>
      <c r="E119" s="15" t="s">
        <v>849</v>
      </c>
      <c r="F119" s="15" t="s">
        <v>11</v>
      </c>
      <c r="G119" s="15" t="s">
        <v>7</v>
      </c>
      <c r="H119" s="15" t="s">
        <v>850</v>
      </c>
      <c r="I119" s="15" t="s">
        <v>84</v>
      </c>
      <c r="J119" s="15" t="s">
        <v>851</v>
      </c>
      <c r="K119" s="15" t="s">
        <v>852</v>
      </c>
      <c r="L119" s="15"/>
    </row>
    <row r="120" customFormat="false" ht="54.75" hidden="false" customHeight="true" outlineLevel="0" collapsed="false">
      <c r="A120" s="15" t="s">
        <v>853</v>
      </c>
      <c r="B120" s="15" t="s">
        <v>260</v>
      </c>
      <c r="C120" s="15" t="s">
        <v>267</v>
      </c>
      <c r="D120" s="15" t="s">
        <v>854</v>
      </c>
      <c r="E120" s="15" t="s">
        <v>855</v>
      </c>
      <c r="F120" s="15" t="s">
        <v>11</v>
      </c>
      <c r="G120" s="15" t="s">
        <v>7</v>
      </c>
      <c r="H120" s="15" t="s">
        <v>856</v>
      </c>
      <c r="I120" s="15" t="s">
        <v>84</v>
      </c>
      <c r="J120" s="15" t="s">
        <v>857</v>
      </c>
      <c r="K120" s="15" t="s">
        <v>858</v>
      </c>
      <c r="L120" s="15" t="s">
        <v>859</v>
      </c>
    </row>
    <row r="121" customFormat="false" ht="28.5" hidden="false" customHeight="true" outlineLevel="0" collapsed="false">
      <c r="A121" s="15" t="s">
        <v>860</v>
      </c>
      <c r="B121" s="15" t="s">
        <v>260</v>
      </c>
      <c r="C121" s="15" t="s">
        <v>267</v>
      </c>
      <c r="D121" s="15" t="s">
        <v>861</v>
      </c>
      <c r="E121" s="15" t="s">
        <v>862</v>
      </c>
      <c r="F121" s="15" t="s">
        <v>11</v>
      </c>
      <c r="G121" s="15" t="s">
        <v>7</v>
      </c>
      <c r="H121" s="15" t="s">
        <v>863</v>
      </c>
      <c r="I121" s="15" t="s">
        <v>84</v>
      </c>
      <c r="J121" s="15" t="s">
        <v>864</v>
      </c>
      <c r="K121" s="15" t="s">
        <v>865</v>
      </c>
      <c r="L121" s="15"/>
    </row>
    <row r="122" customFormat="false" ht="28.5" hidden="false" customHeight="true" outlineLevel="0" collapsed="false">
      <c r="A122" s="15" t="s">
        <v>866</v>
      </c>
      <c r="B122" s="15" t="s">
        <v>260</v>
      </c>
      <c r="C122" s="15" t="s">
        <v>267</v>
      </c>
      <c r="D122" s="15" t="s">
        <v>867</v>
      </c>
      <c r="E122" s="15" t="s">
        <v>868</v>
      </c>
      <c r="F122" s="15" t="s">
        <v>11</v>
      </c>
      <c r="G122" s="15" t="s">
        <v>7</v>
      </c>
      <c r="H122" s="15" t="s">
        <v>869</v>
      </c>
      <c r="I122" s="15" t="s">
        <v>84</v>
      </c>
      <c r="J122" s="15" t="s">
        <v>870</v>
      </c>
      <c r="K122" s="15" t="s">
        <v>871</v>
      </c>
      <c r="L122" s="15"/>
    </row>
    <row r="123" customFormat="false" ht="28.5" hidden="false" customHeight="true" outlineLevel="0" collapsed="false">
      <c r="A123" s="15" t="s">
        <v>872</v>
      </c>
      <c r="B123" s="15" t="s">
        <v>260</v>
      </c>
      <c r="C123" s="15" t="s">
        <v>267</v>
      </c>
      <c r="D123" s="15" t="s">
        <v>873</v>
      </c>
      <c r="E123" s="15" t="s">
        <v>874</v>
      </c>
      <c r="F123" s="15" t="s">
        <v>11</v>
      </c>
      <c r="G123" s="15" t="s">
        <v>7</v>
      </c>
      <c r="H123" s="15" t="s">
        <v>875</v>
      </c>
      <c r="I123" s="15" t="s">
        <v>84</v>
      </c>
      <c r="J123" s="15" t="s">
        <v>876</v>
      </c>
      <c r="K123" s="15" t="s">
        <v>877</v>
      </c>
      <c r="L123" s="15"/>
    </row>
    <row r="124" customFormat="false" ht="42" hidden="false" customHeight="true" outlineLevel="0" collapsed="false">
      <c r="A124" s="15" t="s">
        <v>878</v>
      </c>
      <c r="B124" s="15" t="s">
        <v>260</v>
      </c>
      <c r="C124" s="15" t="s">
        <v>267</v>
      </c>
      <c r="D124" s="15" t="s">
        <v>879</v>
      </c>
      <c r="E124" s="15" t="s">
        <v>880</v>
      </c>
      <c r="F124" s="15" t="s">
        <v>11</v>
      </c>
      <c r="G124" s="15" t="s">
        <v>7</v>
      </c>
      <c r="H124" s="15" t="s">
        <v>881</v>
      </c>
      <c r="I124" s="15" t="s">
        <v>84</v>
      </c>
      <c r="J124" s="15" t="s">
        <v>882</v>
      </c>
      <c r="K124" s="15" t="s">
        <v>883</v>
      </c>
      <c r="L124" s="15"/>
    </row>
    <row r="125" customFormat="false" ht="28.5" hidden="false" customHeight="true" outlineLevel="0" collapsed="false">
      <c r="A125" s="15" t="s">
        <v>884</v>
      </c>
      <c r="B125" s="15" t="s">
        <v>260</v>
      </c>
      <c r="C125" s="15" t="s">
        <v>267</v>
      </c>
      <c r="D125" s="15" t="s">
        <v>885</v>
      </c>
      <c r="E125" s="15" t="s">
        <v>886</v>
      </c>
      <c r="F125" s="15" t="s">
        <v>11</v>
      </c>
      <c r="G125" s="15" t="s">
        <v>7</v>
      </c>
      <c r="H125" s="15" t="s">
        <v>887</v>
      </c>
      <c r="I125" s="15" t="s">
        <v>84</v>
      </c>
      <c r="J125" s="15" t="s">
        <v>888</v>
      </c>
      <c r="K125" s="15" t="s">
        <v>889</v>
      </c>
      <c r="L125" s="15"/>
    </row>
    <row r="126" customFormat="false" ht="28.5" hidden="false" customHeight="true" outlineLevel="0" collapsed="false">
      <c r="A126" s="15" t="s">
        <v>890</v>
      </c>
      <c r="B126" s="15" t="s">
        <v>260</v>
      </c>
      <c r="C126" s="15" t="s">
        <v>267</v>
      </c>
      <c r="D126" s="15" t="s">
        <v>533</v>
      </c>
      <c r="E126" s="15" t="s">
        <v>891</v>
      </c>
      <c r="F126" s="15" t="s">
        <v>11</v>
      </c>
      <c r="G126" s="15" t="s">
        <v>7</v>
      </c>
      <c r="H126" s="15" t="s">
        <v>892</v>
      </c>
      <c r="I126" s="15" t="s">
        <v>84</v>
      </c>
      <c r="J126" s="15" t="s">
        <v>893</v>
      </c>
      <c r="K126" s="15" t="s">
        <v>894</v>
      </c>
      <c r="L126" s="15"/>
    </row>
    <row r="127" customFormat="false" ht="28.5" hidden="false" customHeight="true" outlineLevel="0" collapsed="false">
      <c r="A127" s="15" t="s">
        <v>895</v>
      </c>
      <c r="B127" s="15" t="s">
        <v>260</v>
      </c>
      <c r="C127" s="15" t="s">
        <v>344</v>
      </c>
      <c r="D127" s="15"/>
      <c r="E127" s="15" t="s">
        <v>896</v>
      </c>
      <c r="F127" s="15" t="s">
        <v>11</v>
      </c>
      <c r="G127" s="15" t="s">
        <v>7</v>
      </c>
      <c r="H127" s="15" t="s">
        <v>897</v>
      </c>
      <c r="I127" s="15" t="s">
        <v>84</v>
      </c>
      <c r="J127" s="15" t="s">
        <v>898</v>
      </c>
      <c r="K127" s="15" t="s">
        <v>899</v>
      </c>
      <c r="L127" s="15"/>
    </row>
    <row r="128" customFormat="false" ht="28.5" hidden="false" customHeight="true" outlineLevel="0" collapsed="false">
      <c r="A128" s="15" t="s">
        <v>900</v>
      </c>
      <c r="B128" s="15" t="s">
        <v>260</v>
      </c>
      <c r="C128" s="15" t="s">
        <v>344</v>
      </c>
      <c r="D128" s="15"/>
      <c r="E128" s="15" t="s">
        <v>901</v>
      </c>
      <c r="F128" s="15" t="s">
        <v>11</v>
      </c>
      <c r="G128" s="15" t="s">
        <v>7</v>
      </c>
      <c r="H128" s="15" t="s">
        <v>902</v>
      </c>
      <c r="I128" s="15" t="s">
        <v>84</v>
      </c>
      <c r="J128" s="15" t="s">
        <v>903</v>
      </c>
      <c r="K128" s="15" t="s">
        <v>904</v>
      </c>
      <c r="L128" s="15"/>
    </row>
    <row r="129" customFormat="false" ht="28.5" hidden="false" customHeight="true" outlineLevel="0" collapsed="false">
      <c r="A129" s="15" t="s">
        <v>905</v>
      </c>
      <c r="B129" s="15" t="s">
        <v>260</v>
      </c>
      <c r="C129" s="15" t="s">
        <v>344</v>
      </c>
      <c r="D129" s="15"/>
      <c r="E129" s="15" t="s">
        <v>906</v>
      </c>
      <c r="F129" s="15" t="s">
        <v>11</v>
      </c>
      <c r="G129" s="15" t="s">
        <v>7</v>
      </c>
      <c r="H129" s="15" t="s">
        <v>907</v>
      </c>
      <c r="I129" s="15" t="s">
        <v>84</v>
      </c>
      <c r="J129" s="15" t="s">
        <v>908</v>
      </c>
      <c r="K129" s="15" t="s">
        <v>909</v>
      </c>
      <c r="L129" s="15"/>
    </row>
    <row r="130" customFormat="false" ht="28.5" hidden="false" customHeight="true" outlineLevel="0" collapsed="false">
      <c r="A130" s="15" t="s">
        <v>910</v>
      </c>
      <c r="B130" s="15" t="s">
        <v>260</v>
      </c>
      <c r="C130" s="15" t="s">
        <v>344</v>
      </c>
      <c r="D130" s="15"/>
      <c r="E130" s="15" t="s">
        <v>911</v>
      </c>
      <c r="F130" s="15" t="s">
        <v>11</v>
      </c>
      <c r="G130" s="15" t="s">
        <v>7</v>
      </c>
      <c r="H130" s="15" t="s">
        <v>912</v>
      </c>
      <c r="I130" s="15" t="s">
        <v>84</v>
      </c>
      <c r="J130" s="15" t="s">
        <v>913</v>
      </c>
      <c r="K130" s="15" t="s">
        <v>914</v>
      </c>
      <c r="L130" s="15"/>
    </row>
    <row r="131" customFormat="false" ht="28.5" hidden="false" customHeight="true" outlineLevel="0" collapsed="false">
      <c r="A131" s="15" t="s">
        <v>915</v>
      </c>
      <c r="B131" s="15" t="s">
        <v>260</v>
      </c>
      <c r="C131" s="15" t="s">
        <v>344</v>
      </c>
      <c r="D131" s="15"/>
      <c r="E131" s="15" t="s">
        <v>916</v>
      </c>
      <c r="F131" s="15" t="s">
        <v>11</v>
      </c>
      <c r="G131" s="15" t="s">
        <v>7</v>
      </c>
      <c r="H131" s="15" t="s">
        <v>917</v>
      </c>
      <c r="I131" s="15" t="s">
        <v>84</v>
      </c>
      <c r="J131" s="15" t="s">
        <v>918</v>
      </c>
      <c r="K131" s="15" t="s">
        <v>919</v>
      </c>
      <c r="L131" s="15"/>
    </row>
    <row r="132" customFormat="false" ht="28.5" hidden="false" customHeight="true" outlineLevel="0" collapsed="false">
      <c r="A132" s="15" t="s">
        <v>920</v>
      </c>
      <c r="B132" s="15" t="s">
        <v>260</v>
      </c>
      <c r="C132" s="15" t="s">
        <v>344</v>
      </c>
      <c r="D132" s="15"/>
      <c r="E132" s="15" t="s">
        <v>921</v>
      </c>
      <c r="F132" s="15" t="s">
        <v>11</v>
      </c>
      <c r="G132" s="15" t="s">
        <v>7</v>
      </c>
      <c r="H132" s="15" t="s">
        <v>922</v>
      </c>
      <c r="I132" s="15" t="s">
        <v>84</v>
      </c>
      <c r="J132" s="15" t="s">
        <v>923</v>
      </c>
      <c r="K132" s="15" t="s">
        <v>924</v>
      </c>
      <c r="L132" s="15"/>
    </row>
    <row r="133" customFormat="false" ht="28.5" hidden="false" customHeight="true" outlineLevel="0" collapsed="false">
      <c r="A133" s="15" t="s">
        <v>925</v>
      </c>
      <c r="B133" s="15" t="s">
        <v>260</v>
      </c>
      <c r="C133" s="15" t="s">
        <v>344</v>
      </c>
      <c r="D133" s="15"/>
      <c r="E133" s="15" t="s">
        <v>926</v>
      </c>
      <c r="F133" s="15" t="s">
        <v>11</v>
      </c>
      <c r="G133" s="15" t="s">
        <v>7</v>
      </c>
      <c r="H133" s="15" t="s">
        <v>927</v>
      </c>
      <c r="I133" s="15" t="s">
        <v>84</v>
      </c>
      <c r="J133" s="15" t="s">
        <v>928</v>
      </c>
      <c r="K133" s="15" t="s">
        <v>929</v>
      </c>
      <c r="L133" s="15" t="s">
        <v>930</v>
      </c>
    </row>
    <row r="134" customFormat="false" ht="28.5" hidden="false" customHeight="true" outlineLevel="0" collapsed="false">
      <c r="A134" s="15" t="s">
        <v>931</v>
      </c>
      <c r="B134" s="15" t="s">
        <v>260</v>
      </c>
      <c r="C134" s="15" t="s">
        <v>344</v>
      </c>
      <c r="D134" s="15"/>
      <c r="E134" s="15" t="s">
        <v>932</v>
      </c>
      <c r="F134" s="15" t="s">
        <v>11</v>
      </c>
      <c r="G134" s="15" t="s">
        <v>7</v>
      </c>
      <c r="H134" s="15" t="s">
        <v>933</v>
      </c>
      <c r="I134" s="15" t="s">
        <v>84</v>
      </c>
      <c r="J134" s="15" t="s">
        <v>934</v>
      </c>
      <c r="K134" s="15" t="s">
        <v>935</v>
      </c>
      <c r="L134" s="15"/>
    </row>
    <row r="135" customFormat="false" ht="28.5" hidden="false" customHeight="true" outlineLevel="0" collapsed="false">
      <c r="A135" s="15" t="s">
        <v>936</v>
      </c>
      <c r="B135" s="15" t="s">
        <v>260</v>
      </c>
      <c r="C135" s="15" t="s">
        <v>344</v>
      </c>
      <c r="D135" s="15"/>
      <c r="E135" s="15" t="s">
        <v>937</v>
      </c>
      <c r="F135" s="15" t="s">
        <v>11</v>
      </c>
      <c r="G135" s="15" t="s">
        <v>7</v>
      </c>
      <c r="H135" s="15" t="s">
        <v>938</v>
      </c>
      <c r="I135" s="15" t="s">
        <v>84</v>
      </c>
      <c r="J135" s="15" t="s">
        <v>939</v>
      </c>
      <c r="K135" s="15" t="s">
        <v>940</v>
      </c>
      <c r="L135" s="15"/>
    </row>
    <row r="136" customFormat="false" ht="28.5" hidden="false" customHeight="true" outlineLevel="0" collapsed="false">
      <c r="A136" s="15" t="s">
        <v>941</v>
      </c>
      <c r="B136" s="15" t="s">
        <v>260</v>
      </c>
      <c r="C136" s="15" t="s">
        <v>344</v>
      </c>
      <c r="D136" s="15"/>
      <c r="E136" s="15" t="s">
        <v>942</v>
      </c>
      <c r="F136" s="15" t="s">
        <v>11</v>
      </c>
      <c r="G136" s="15" t="s">
        <v>7</v>
      </c>
      <c r="H136" s="15" t="s">
        <v>943</v>
      </c>
      <c r="I136" s="15" t="s">
        <v>84</v>
      </c>
      <c r="J136" s="15" t="s">
        <v>944</v>
      </c>
      <c r="K136" s="15" t="s">
        <v>945</v>
      </c>
      <c r="L136" s="15"/>
    </row>
    <row r="137" customFormat="false" ht="81" hidden="false" customHeight="true" outlineLevel="0" collapsed="false">
      <c r="A137" s="15" t="s">
        <v>946</v>
      </c>
      <c r="B137" s="15" t="s">
        <v>260</v>
      </c>
      <c r="C137" s="15" t="s">
        <v>344</v>
      </c>
      <c r="D137" s="15"/>
      <c r="E137" s="15" t="s">
        <v>947</v>
      </c>
      <c r="F137" s="15" t="s">
        <v>11</v>
      </c>
      <c r="G137" s="15" t="s">
        <v>7</v>
      </c>
      <c r="H137" s="15" t="s">
        <v>948</v>
      </c>
      <c r="I137" s="15" t="s">
        <v>84</v>
      </c>
      <c r="J137" s="15" t="s">
        <v>949</v>
      </c>
      <c r="K137" s="15" t="s">
        <v>950</v>
      </c>
      <c r="L137" s="15" t="s">
        <v>951</v>
      </c>
    </row>
    <row r="138" customFormat="false" ht="67.5" hidden="false" customHeight="true" outlineLevel="0" collapsed="false">
      <c r="A138" s="15" t="s">
        <v>952</v>
      </c>
      <c r="B138" s="15" t="s">
        <v>282</v>
      </c>
      <c r="C138" s="15" t="s">
        <v>252</v>
      </c>
      <c r="D138" s="15" t="s">
        <v>953</v>
      </c>
      <c r="E138" s="15" t="s">
        <v>954</v>
      </c>
      <c r="F138" s="15" t="s">
        <v>955</v>
      </c>
      <c r="G138" s="15" t="s">
        <v>955</v>
      </c>
      <c r="H138" s="15" t="s">
        <v>956</v>
      </c>
      <c r="I138" s="15"/>
      <c r="J138" s="15"/>
      <c r="K138" s="15" t="s">
        <v>957</v>
      </c>
      <c r="L138" s="15" t="s">
        <v>958</v>
      </c>
    </row>
    <row r="139" customFormat="false" ht="67.5" hidden="false" customHeight="true" outlineLevel="0" collapsed="false">
      <c r="A139" s="15" t="s">
        <v>959</v>
      </c>
      <c r="B139" s="15" t="s">
        <v>282</v>
      </c>
      <c r="C139" s="15" t="s">
        <v>252</v>
      </c>
      <c r="D139" s="15" t="s">
        <v>960</v>
      </c>
      <c r="E139" s="15" t="s">
        <v>961</v>
      </c>
      <c r="F139" s="15" t="s">
        <v>955</v>
      </c>
      <c r="G139" s="15" t="s">
        <v>955</v>
      </c>
      <c r="H139" s="15" t="s">
        <v>956</v>
      </c>
      <c r="I139" s="15"/>
      <c r="J139" s="15"/>
      <c r="K139" s="15" t="s">
        <v>962</v>
      </c>
      <c r="L139" s="15"/>
    </row>
    <row r="140" customFormat="false" ht="54.75" hidden="false" customHeight="true" outlineLevel="0" collapsed="false">
      <c r="A140" s="15" t="s">
        <v>963</v>
      </c>
      <c r="B140" s="15" t="s">
        <v>260</v>
      </c>
      <c r="C140" s="15" t="s">
        <v>267</v>
      </c>
      <c r="D140" s="15" t="s">
        <v>964</v>
      </c>
      <c r="E140" s="15" t="s">
        <v>965</v>
      </c>
      <c r="F140" s="15" t="s">
        <v>955</v>
      </c>
      <c r="G140" s="15" t="s">
        <v>955</v>
      </c>
      <c r="H140" s="15" t="s">
        <v>956</v>
      </c>
      <c r="I140" s="15"/>
      <c r="J140" s="15"/>
      <c r="K140" s="15" t="s">
        <v>966</v>
      </c>
      <c r="L140" s="15" t="s">
        <v>967</v>
      </c>
    </row>
    <row r="141" customFormat="false" ht="42" hidden="false" customHeight="true" outlineLevel="0" collapsed="false">
      <c r="A141" s="15" t="s">
        <v>968</v>
      </c>
      <c r="B141" s="15" t="s">
        <v>260</v>
      </c>
      <c r="C141" s="15" t="s">
        <v>267</v>
      </c>
      <c r="D141" s="15" t="s">
        <v>969</v>
      </c>
      <c r="E141" s="15" t="s">
        <v>970</v>
      </c>
      <c r="F141" s="15" t="s">
        <v>955</v>
      </c>
      <c r="G141" s="15" t="s">
        <v>955</v>
      </c>
      <c r="H141" s="15" t="s">
        <v>956</v>
      </c>
      <c r="I141" s="15"/>
      <c r="J141" s="15"/>
      <c r="K141" s="15" t="s">
        <v>971</v>
      </c>
      <c r="L141" s="15" t="s">
        <v>972</v>
      </c>
    </row>
  </sheetData>
  <autoFilter ref="A4:L141"/>
  <conditionalFormatting sqref="B5:B141">
    <cfRule type="expression" priority="2" aboveAverage="0" equalAverage="0" bottom="0" percent="0" rank="0" text="" dxfId="13">
      <formula>ISNUMBER(SEARCH("Critical",B5))</formula>
    </cfRule>
    <cfRule type="expression" priority="3" aboveAverage="0" equalAverage="0" bottom="0" percent="0" rank="0" text="" dxfId="14">
      <formula>ISNUMBER(SEARCH("High",B5))</formula>
    </cfRule>
    <cfRule type="expression" priority="4" aboveAverage="0" equalAverage="0" bottom="0" percent="0" rank="0" text="" dxfId="15">
      <formula>ISNUMBER(SEARCH("Medium",B5))</formula>
    </cfRule>
    <cfRule type="expression" priority="5" aboveAverage="0" equalAverage="0" bottom="0" percent="0" rank="0" text="" dxfId="16">
      <formula>ISNUMBER(SEARCH("Low",B5))</formula>
    </cfRule>
    <cfRule type="expression" priority="6" aboveAverage="0" equalAverage="0" bottom="0" percent="0" rank="0" text="" dxfId="17">
      <formula>ISNUMBER(SEARCH("Info",B5))</formula>
    </cfRule>
  </conditionalFormatting>
  <conditionalFormatting sqref="F5:F141">
    <cfRule type="expression" priority="7" aboveAverage="0" equalAverage="0" bottom="0" percent="0" rank="0" text="" dxfId="15">
      <formula>ISNUMBER(SEARCH("Partly",F5))</formula>
    </cfRule>
    <cfRule type="expression" priority="8" aboveAverage="0" equalAverage="0" bottom="0" percent="0" rank="0" text="" dxfId="6">
      <formula>ISNUMBER(SEARCH("Fixed",F5))</formula>
    </cfRule>
    <cfRule type="expression" priority="9" aboveAverage="0" equalAverage="0" bottom="0" percent="0" rank="0" text="" dxfId="18">
      <formula>ISNUMBER(SEARCH("Was wrong",F5))</formula>
    </cfRule>
    <cfRule type="expression" priority="10" aboveAverage="0" equalAverage="0" bottom="0" percent="0" rank="0" text="" dxfId="18">
      <formula>ISNUMBER(SEARCH("Not wanted",F5))</formula>
    </cfRule>
    <cfRule type="expression" priority="11" aboveAverage="0" equalAverage="0" bottom="0" percent="0" rank="0" text="" dxfId="19">
      <formula>ISNUMBER(SEARCH("Andy to decide",F5))</formula>
    </cfRule>
    <cfRule type="expression" priority="12" aboveAverage="0" equalAverage="0" bottom="0" percent="0" rank="0" text="" dxfId="19">
      <formula>ISNUMBER(SEARCH("Your task",F5))</formula>
    </cfRule>
    <cfRule type="expression" priority="13" aboveAverage="0" equalAverage="0" bottom="0" percent="0" rank="0" text="" dxfId="18">
      <formula>ISNUMBER(SEARCH("Later",F5))</formula>
    </cfRule>
    <cfRule type="expression" priority="14" aboveAverage="0" equalAverage="0" bottom="0" percent="0" rank="0" text="" dxfId="20">
      <formula>ISNUMBER(SEARCH("Needs check",F5))</formula>
    </cfRule>
    <cfRule type="expression" priority="15" aboveAverage="0" equalAverage="0" bottom="0" percent="0" rank="0" text="" dxfId="17">
      <formula>ISNUMBER(SEARCH("Info",F5))</formula>
    </cfRule>
    <cfRule type="expression" priority="16" aboveAverage="0" equalAverage="0" bottom="0" percent="0" rank="0" text="" dxfId="21">
      <formula>ISNUMBER(SEARCH("Open",F5))</formula>
    </cfRule>
  </conditionalFormatting>
  <conditionalFormatting sqref="G5:G141">
    <cfRule type="expression" priority="17" aboveAverage="0" equalAverage="0" bottom="0" percent="0" rank="0" text="" dxfId="15">
      <formula>ISNUMBER(SEARCH("Partly",G5))</formula>
    </cfRule>
    <cfRule type="expression" priority="18" aboveAverage="0" equalAverage="0" bottom="0" percent="0" rank="0" text="" dxfId="6">
      <formula>ISNUMBER(SEARCH("Fixed",G5))</formula>
    </cfRule>
    <cfRule type="expression" priority="19" aboveAverage="0" equalAverage="0" bottom="0" percent="0" rank="0" text="" dxfId="18">
      <formula>ISNUMBER(SEARCH("Was wrong",G5))</formula>
    </cfRule>
    <cfRule type="expression" priority="20" aboveAverage="0" equalAverage="0" bottom="0" percent="0" rank="0" text="" dxfId="18">
      <formula>ISNUMBER(SEARCH("Not wanted",G5))</formula>
    </cfRule>
    <cfRule type="expression" priority="21" aboveAverage="0" equalAverage="0" bottom="0" percent="0" rank="0" text="" dxfId="19">
      <formula>ISNUMBER(SEARCH("Andy to decide",G5))</formula>
    </cfRule>
    <cfRule type="expression" priority="22" aboveAverage="0" equalAverage="0" bottom="0" percent="0" rank="0" text="" dxfId="19">
      <formula>ISNUMBER(SEARCH("Your task",G5))</formula>
    </cfRule>
    <cfRule type="expression" priority="23" aboveAverage="0" equalAverage="0" bottom="0" percent="0" rank="0" text="" dxfId="18">
      <formula>ISNUMBER(SEARCH("Later",G5))</formula>
    </cfRule>
    <cfRule type="expression" priority="24" aboveAverage="0" equalAverage="0" bottom="0" percent="0" rank="0" text="" dxfId="20">
      <formula>ISNUMBER(SEARCH("Needs check",G5))</formula>
    </cfRule>
    <cfRule type="expression" priority="25" aboveAverage="0" equalAverage="0" bottom="0" percent="0" rank="0" text="" dxfId="17">
      <formula>ISNUMBER(SEARCH("Info",G5))</formula>
    </cfRule>
    <cfRule type="expression" priority="26" aboveAverage="0" equalAverage="0" bottom="0" percent="0" rank="0" text="" dxfId="21">
      <formula>ISNUMBER(SEARCH("Open",G5))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3262B"/>
    <pageSetUpPr fitToPage="false"/>
  </sheetPr>
  <dimension ref="A1:L3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0"/>
    <col collapsed="false" customWidth="true" hidden="false" outlineLevel="0" max="3" min="3" style="0" width="20"/>
    <col collapsed="false" customWidth="true" hidden="false" outlineLevel="0" max="4" min="4" style="0" width="44"/>
    <col collapsed="false" customWidth="true" hidden="false" outlineLevel="0" max="5" min="5" style="0" width="12"/>
    <col collapsed="false" customWidth="true" hidden="false" outlineLevel="0" max="6" min="6" style="0" width="13"/>
    <col collapsed="false" customWidth="true" hidden="false" outlineLevel="0" max="7" min="7" style="0" width="55"/>
    <col collapsed="false" customWidth="true" hidden="false" outlineLevel="0" max="8" min="8" style="0" width="16"/>
    <col collapsed="false" customWidth="true" hidden="false" outlineLevel="0" max="9" min="9" style="0" width="40"/>
    <col collapsed="false" customWidth="true" hidden="false" outlineLevel="0" max="10" min="10" style="0" width="34"/>
    <col collapsed="false" customWidth="true" hidden="false" outlineLevel="0" max="11" min="11" style="0" width="50"/>
    <col collapsed="false" customWidth="true" hidden="false" outlineLevel="0" max="12" min="12" style="0" width="8"/>
  </cols>
  <sheetData>
    <row r="1" customFormat="false" ht="19.7" hidden="false" customHeight="false" outlineLevel="0" collapsed="false">
      <c r="A1" s="1" t="s">
        <v>973</v>
      </c>
    </row>
    <row r="2" customFormat="false" ht="15" hidden="false" customHeight="false" outlineLevel="0" collapsed="false">
      <c r="A2" s="11" t="s">
        <v>974</v>
      </c>
    </row>
    <row r="3" customFormat="false" ht="15" hidden="false" customHeight="false" outlineLevel="0" collapsed="false">
      <c r="A3" s="16" t="s">
        <v>975</v>
      </c>
    </row>
    <row r="5" customFormat="false" ht="27.75" hidden="false" customHeight="true" outlineLevel="0" collapsed="false">
      <c r="A5" s="14" t="s">
        <v>225</v>
      </c>
      <c r="B5" s="14" t="s">
        <v>226</v>
      </c>
      <c r="C5" s="14" t="s">
        <v>79</v>
      </c>
      <c r="D5" s="14" t="s">
        <v>228</v>
      </c>
      <c r="E5" s="14" t="s">
        <v>229</v>
      </c>
      <c r="F5" s="14" t="s">
        <v>230</v>
      </c>
      <c r="G5" s="14" t="s">
        <v>80</v>
      </c>
      <c r="H5" s="14" t="s">
        <v>231</v>
      </c>
      <c r="I5" s="14" t="s">
        <v>976</v>
      </c>
      <c r="J5" s="14" t="s">
        <v>977</v>
      </c>
      <c r="K5" s="14" t="s">
        <v>233</v>
      </c>
      <c r="L5" s="14" t="s">
        <v>978</v>
      </c>
    </row>
    <row r="6" customFormat="false" ht="159" hidden="false" customHeight="true" outlineLevel="0" collapsed="false">
      <c r="A6" s="15" t="s">
        <v>979</v>
      </c>
      <c r="B6" s="15" t="s">
        <v>274</v>
      </c>
      <c r="C6" s="15" t="s">
        <v>980</v>
      </c>
      <c r="D6" s="15" t="s">
        <v>981</v>
      </c>
      <c r="E6" s="15" t="s">
        <v>9</v>
      </c>
      <c r="F6" s="15" t="s">
        <v>9</v>
      </c>
      <c r="G6" s="15" t="s">
        <v>982</v>
      </c>
      <c r="H6" s="15" t="s">
        <v>84</v>
      </c>
      <c r="I6" s="15" t="s">
        <v>983</v>
      </c>
      <c r="J6" s="15" t="s">
        <v>984</v>
      </c>
      <c r="K6" s="15" t="s">
        <v>985</v>
      </c>
      <c r="L6" s="15" t="s">
        <v>986</v>
      </c>
    </row>
    <row r="7" customFormat="false" ht="81" hidden="false" customHeight="true" outlineLevel="0" collapsed="false">
      <c r="A7" s="15" t="s">
        <v>987</v>
      </c>
      <c r="B7" s="15" t="s">
        <v>282</v>
      </c>
      <c r="C7" s="15" t="s">
        <v>988</v>
      </c>
      <c r="D7" s="15" t="s">
        <v>989</v>
      </c>
      <c r="E7" s="15" t="s">
        <v>11</v>
      </c>
      <c r="F7" s="15" t="s">
        <v>9</v>
      </c>
      <c r="G7" s="15" t="s">
        <v>990</v>
      </c>
      <c r="H7" s="15" t="s">
        <v>991</v>
      </c>
      <c r="I7" s="15" t="s">
        <v>992</v>
      </c>
      <c r="J7" s="15" t="s">
        <v>993</v>
      </c>
      <c r="K7" s="15" t="s">
        <v>994</v>
      </c>
      <c r="L7" s="15" t="s">
        <v>986</v>
      </c>
    </row>
    <row r="8" customFormat="false" ht="28.5" hidden="false" customHeight="true" outlineLevel="0" collapsed="false">
      <c r="A8" s="15" t="s">
        <v>995</v>
      </c>
      <c r="B8" s="15" t="s">
        <v>260</v>
      </c>
      <c r="C8" s="15"/>
      <c r="D8" s="15" t="s">
        <v>996</v>
      </c>
      <c r="E8" s="15" t="s">
        <v>11</v>
      </c>
      <c r="F8" s="15" t="s">
        <v>9</v>
      </c>
      <c r="G8" s="15" t="s">
        <v>997</v>
      </c>
      <c r="H8" s="15" t="s">
        <v>84</v>
      </c>
      <c r="I8" s="15" t="s">
        <v>998</v>
      </c>
      <c r="J8" s="15" t="s">
        <v>999</v>
      </c>
      <c r="K8" s="15" t="s">
        <v>1000</v>
      </c>
      <c r="L8" s="15" t="s">
        <v>986</v>
      </c>
    </row>
    <row r="9" customFormat="false" ht="67.5" hidden="false" customHeight="true" outlineLevel="0" collapsed="false">
      <c r="A9" s="15" t="s">
        <v>1001</v>
      </c>
      <c r="B9" s="15" t="s">
        <v>1002</v>
      </c>
      <c r="C9" s="15" t="s">
        <v>1003</v>
      </c>
      <c r="D9" s="15" t="s">
        <v>1004</v>
      </c>
      <c r="E9" s="15" t="s">
        <v>11</v>
      </c>
      <c r="F9" s="15" t="s">
        <v>9</v>
      </c>
      <c r="G9" s="15" t="s">
        <v>1005</v>
      </c>
      <c r="H9" s="15" t="s">
        <v>84</v>
      </c>
      <c r="I9" s="15" t="s">
        <v>1006</v>
      </c>
      <c r="J9" s="15" t="s">
        <v>1007</v>
      </c>
      <c r="K9" s="15" t="s">
        <v>1008</v>
      </c>
      <c r="L9" s="15" t="s">
        <v>1009</v>
      </c>
    </row>
    <row r="10" customFormat="false" ht="42" hidden="false" customHeight="true" outlineLevel="0" collapsed="false">
      <c r="A10" s="15" t="s">
        <v>1010</v>
      </c>
      <c r="B10" s="15" t="s">
        <v>1002</v>
      </c>
      <c r="C10" s="15"/>
      <c r="D10" s="15" t="s">
        <v>1011</v>
      </c>
      <c r="E10" s="15" t="s">
        <v>18</v>
      </c>
      <c r="F10" s="15" t="s">
        <v>18</v>
      </c>
      <c r="G10" s="15" t="s">
        <v>1012</v>
      </c>
      <c r="H10" s="15"/>
      <c r="I10" s="15" t="s">
        <v>1013</v>
      </c>
      <c r="J10" s="15" t="s">
        <v>1014</v>
      </c>
      <c r="K10" s="15" t="s">
        <v>1015</v>
      </c>
      <c r="L10" s="15" t="s">
        <v>986</v>
      </c>
    </row>
    <row r="11" customFormat="false" ht="28.5" hidden="false" customHeight="true" outlineLevel="0" collapsed="false">
      <c r="A11" s="15" t="s">
        <v>1016</v>
      </c>
      <c r="B11" s="15" t="s">
        <v>1002</v>
      </c>
      <c r="C11" s="15"/>
      <c r="D11" s="15" t="s">
        <v>1017</v>
      </c>
      <c r="E11" s="15" t="s">
        <v>18</v>
      </c>
      <c r="F11" s="15" t="s">
        <v>1002</v>
      </c>
      <c r="G11" s="15" t="s">
        <v>1018</v>
      </c>
      <c r="H11" s="15"/>
      <c r="I11" s="15"/>
      <c r="J11" s="15"/>
      <c r="K11" s="15" t="s">
        <v>1019</v>
      </c>
      <c r="L11" s="15" t="s">
        <v>986</v>
      </c>
    </row>
    <row r="12" customFormat="false" ht="145.5" hidden="false" customHeight="true" outlineLevel="0" collapsed="false">
      <c r="A12" s="15" t="s">
        <v>1020</v>
      </c>
      <c r="B12" s="15" t="s">
        <v>282</v>
      </c>
      <c r="C12" s="15" t="s">
        <v>1021</v>
      </c>
      <c r="D12" s="15" t="s">
        <v>1022</v>
      </c>
      <c r="E12" s="15" t="s">
        <v>7</v>
      </c>
      <c r="F12" s="15" t="s">
        <v>7</v>
      </c>
      <c r="G12" s="15" t="s">
        <v>1023</v>
      </c>
      <c r="H12" s="15" t="s">
        <v>84</v>
      </c>
      <c r="I12" s="15" t="s">
        <v>1024</v>
      </c>
      <c r="J12" s="15"/>
      <c r="K12" s="15" t="s">
        <v>1025</v>
      </c>
      <c r="L12" s="15" t="s">
        <v>986</v>
      </c>
    </row>
    <row r="13" customFormat="false" ht="106.5" hidden="false" customHeight="true" outlineLevel="0" collapsed="false">
      <c r="A13" s="15" t="s">
        <v>1026</v>
      </c>
      <c r="B13" s="15" t="s">
        <v>282</v>
      </c>
      <c r="C13" s="15" t="s">
        <v>1027</v>
      </c>
      <c r="D13" s="15" t="s">
        <v>1028</v>
      </c>
      <c r="E13" s="15" t="s">
        <v>11</v>
      </c>
      <c r="F13" s="15" t="s">
        <v>7</v>
      </c>
      <c r="G13" s="15" t="s">
        <v>1029</v>
      </c>
      <c r="H13" s="15" t="s">
        <v>84</v>
      </c>
      <c r="I13" s="15" t="s">
        <v>1030</v>
      </c>
      <c r="J13" s="15"/>
      <c r="K13" s="15" t="s">
        <v>1031</v>
      </c>
      <c r="L13" s="15" t="s">
        <v>986</v>
      </c>
    </row>
    <row r="14" customFormat="false" ht="42" hidden="false" customHeight="true" outlineLevel="0" collapsed="false">
      <c r="A14" s="15" t="s">
        <v>1032</v>
      </c>
      <c r="B14" s="15" t="s">
        <v>282</v>
      </c>
      <c r="C14" s="15" t="s">
        <v>988</v>
      </c>
      <c r="D14" s="15" t="s">
        <v>1033</v>
      </c>
      <c r="E14" s="15" t="s">
        <v>11</v>
      </c>
      <c r="F14" s="15" t="s">
        <v>7</v>
      </c>
      <c r="G14" s="15" t="s">
        <v>1034</v>
      </c>
      <c r="H14" s="15" t="s">
        <v>84</v>
      </c>
      <c r="I14" s="15" t="s">
        <v>1035</v>
      </c>
      <c r="J14" s="15"/>
      <c r="K14" s="15" t="s">
        <v>1036</v>
      </c>
      <c r="L14" s="15" t="s">
        <v>986</v>
      </c>
    </row>
    <row r="15" customFormat="false" ht="81" hidden="false" customHeight="true" outlineLevel="0" collapsed="false">
      <c r="A15" s="15" t="s">
        <v>1037</v>
      </c>
      <c r="B15" s="15" t="s">
        <v>282</v>
      </c>
      <c r="C15" s="15" t="s">
        <v>1038</v>
      </c>
      <c r="D15" s="15" t="s">
        <v>1039</v>
      </c>
      <c r="E15" s="15" t="s">
        <v>11</v>
      </c>
      <c r="F15" s="15" t="s">
        <v>7</v>
      </c>
      <c r="G15" s="15" t="s">
        <v>1040</v>
      </c>
      <c r="H15" s="15" t="s">
        <v>84</v>
      </c>
      <c r="I15" s="15" t="s">
        <v>1041</v>
      </c>
      <c r="J15" s="15"/>
      <c r="K15" s="15" t="s">
        <v>1042</v>
      </c>
      <c r="L15" s="15" t="s">
        <v>986</v>
      </c>
    </row>
    <row r="16" customFormat="false" ht="54.75" hidden="false" customHeight="true" outlineLevel="0" collapsed="false">
      <c r="A16" s="15" t="s">
        <v>1043</v>
      </c>
      <c r="B16" s="15" t="s">
        <v>282</v>
      </c>
      <c r="C16" s="15" t="s">
        <v>1044</v>
      </c>
      <c r="D16" s="15" t="s">
        <v>1045</v>
      </c>
      <c r="E16" s="15" t="s">
        <v>11</v>
      </c>
      <c r="F16" s="15" t="s">
        <v>7</v>
      </c>
      <c r="G16" s="15" t="s">
        <v>1046</v>
      </c>
      <c r="H16" s="15" t="s">
        <v>84</v>
      </c>
      <c r="I16" s="15" t="s">
        <v>1047</v>
      </c>
      <c r="J16" s="15" t="s">
        <v>1048</v>
      </c>
      <c r="K16" s="15" t="s">
        <v>1049</v>
      </c>
      <c r="L16" s="15" t="s">
        <v>986</v>
      </c>
    </row>
    <row r="17" customFormat="false" ht="54.75" hidden="false" customHeight="true" outlineLevel="0" collapsed="false">
      <c r="A17" s="15" t="s">
        <v>1050</v>
      </c>
      <c r="B17" s="15" t="s">
        <v>236</v>
      </c>
      <c r="C17" s="15" t="s">
        <v>1051</v>
      </c>
      <c r="D17" s="15" t="s">
        <v>1052</v>
      </c>
      <c r="E17" s="15" t="s">
        <v>11</v>
      </c>
      <c r="F17" s="15" t="s">
        <v>7</v>
      </c>
      <c r="G17" s="15" t="s">
        <v>1053</v>
      </c>
      <c r="H17" s="15" t="s">
        <v>991</v>
      </c>
      <c r="I17" s="15" t="s">
        <v>1054</v>
      </c>
      <c r="J17" s="15"/>
      <c r="K17" s="15" t="s">
        <v>1055</v>
      </c>
      <c r="L17" s="15" t="s">
        <v>986</v>
      </c>
    </row>
    <row r="18" customFormat="false" ht="67.5" hidden="false" customHeight="true" outlineLevel="0" collapsed="false">
      <c r="A18" s="15" t="s">
        <v>1056</v>
      </c>
      <c r="B18" s="15" t="s">
        <v>236</v>
      </c>
      <c r="C18" s="15" t="s">
        <v>1027</v>
      </c>
      <c r="D18" s="15" t="s">
        <v>1057</v>
      </c>
      <c r="E18" s="15" t="s">
        <v>7</v>
      </c>
      <c r="F18" s="15" t="s">
        <v>7</v>
      </c>
      <c r="G18" s="15" t="s">
        <v>1058</v>
      </c>
      <c r="H18" s="15" t="s">
        <v>286</v>
      </c>
      <c r="I18" s="15" t="s">
        <v>1059</v>
      </c>
      <c r="J18" s="15"/>
      <c r="K18" s="15" t="s">
        <v>1060</v>
      </c>
      <c r="L18" s="15" t="s">
        <v>986</v>
      </c>
    </row>
    <row r="19" customFormat="false" ht="67.5" hidden="false" customHeight="true" outlineLevel="0" collapsed="false">
      <c r="A19" s="15" t="s">
        <v>1061</v>
      </c>
      <c r="B19" s="15" t="s">
        <v>236</v>
      </c>
      <c r="C19" s="15" t="s">
        <v>1062</v>
      </c>
      <c r="D19" s="15" t="s">
        <v>1063</v>
      </c>
      <c r="E19" s="15" t="s">
        <v>11</v>
      </c>
      <c r="F19" s="15" t="s">
        <v>7</v>
      </c>
      <c r="G19" s="15" t="s">
        <v>1064</v>
      </c>
      <c r="H19" s="15" t="s">
        <v>991</v>
      </c>
      <c r="I19" s="15" t="s">
        <v>1065</v>
      </c>
      <c r="J19" s="15"/>
      <c r="K19" s="15" t="s">
        <v>1066</v>
      </c>
      <c r="L19" s="15" t="s">
        <v>986</v>
      </c>
    </row>
    <row r="20" customFormat="false" ht="42" hidden="false" customHeight="true" outlineLevel="0" collapsed="false">
      <c r="A20" s="15" t="s">
        <v>1067</v>
      </c>
      <c r="B20" s="15" t="s">
        <v>236</v>
      </c>
      <c r="C20" s="15" t="s">
        <v>1051</v>
      </c>
      <c r="D20" s="15" t="s">
        <v>1068</v>
      </c>
      <c r="E20" s="15" t="s">
        <v>11</v>
      </c>
      <c r="F20" s="15" t="s">
        <v>7</v>
      </c>
      <c r="G20" s="15" t="s">
        <v>1069</v>
      </c>
      <c r="H20" s="15" t="s">
        <v>84</v>
      </c>
      <c r="I20" s="15" t="s">
        <v>1070</v>
      </c>
      <c r="J20" s="15"/>
      <c r="K20" s="15" t="s">
        <v>1071</v>
      </c>
      <c r="L20" s="15" t="s">
        <v>986</v>
      </c>
    </row>
    <row r="21" customFormat="false" ht="93.75" hidden="false" customHeight="true" outlineLevel="0" collapsed="false">
      <c r="A21" s="15" t="s">
        <v>1072</v>
      </c>
      <c r="B21" s="15" t="s">
        <v>236</v>
      </c>
      <c r="C21" s="15" t="s">
        <v>1051</v>
      </c>
      <c r="D21" s="15" t="s">
        <v>1073</v>
      </c>
      <c r="E21" s="15" t="s">
        <v>11</v>
      </c>
      <c r="F21" s="15" t="s">
        <v>7</v>
      </c>
      <c r="G21" s="15" t="s">
        <v>1074</v>
      </c>
      <c r="H21" s="15" t="s">
        <v>84</v>
      </c>
      <c r="I21" s="15" t="s">
        <v>1075</v>
      </c>
      <c r="J21" s="15"/>
      <c r="K21" s="15" t="s">
        <v>1076</v>
      </c>
      <c r="L21" s="15" t="s">
        <v>986</v>
      </c>
    </row>
    <row r="22" customFormat="false" ht="42" hidden="false" customHeight="true" outlineLevel="0" collapsed="false">
      <c r="A22" s="15" t="s">
        <v>1077</v>
      </c>
      <c r="B22" s="15" t="s">
        <v>236</v>
      </c>
      <c r="C22" s="15" t="s">
        <v>1078</v>
      </c>
      <c r="D22" s="15" t="s">
        <v>1079</v>
      </c>
      <c r="E22" s="15" t="s">
        <v>11</v>
      </c>
      <c r="F22" s="15" t="s">
        <v>7</v>
      </c>
      <c r="G22" s="15" t="s">
        <v>1080</v>
      </c>
      <c r="H22" s="15" t="s">
        <v>84</v>
      </c>
      <c r="I22" s="15" t="s">
        <v>1081</v>
      </c>
      <c r="J22" s="15"/>
      <c r="K22" s="15" t="s">
        <v>1082</v>
      </c>
      <c r="L22" s="15" t="s">
        <v>986</v>
      </c>
    </row>
    <row r="23" customFormat="false" ht="54.75" hidden="false" customHeight="true" outlineLevel="0" collapsed="false">
      <c r="A23" s="15" t="s">
        <v>1083</v>
      </c>
      <c r="B23" s="15" t="s">
        <v>236</v>
      </c>
      <c r="C23" s="15" t="s">
        <v>1051</v>
      </c>
      <c r="D23" s="15" t="s">
        <v>1084</v>
      </c>
      <c r="E23" s="15" t="s">
        <v>11</v>
      </c>
      <c r="F23" s="15" t="s">
        <v>7</v>
      </c>
      <c r="G23" s="15" t="s">
        <v>1085</v>
      </c>
      <c r="H23" s="15" t="s">
        <v>84</v>
      </c>
      <c r="I23" s="15" t="s">
        <v>1086</v>
      </c>
      <c r="J23" s="15"/>
      <c r="K23" s="15" t="s">
        <v>1087</v>
      </c>
      <c r="L23" s="15" t="s">
        <v>986</v>
      </c>
    </row>
    <row r="24" customFormat="false" ht="67.5" hidden="false" customHeight="true" outlineLevel="0" collapsed="false">
      <c r="A24" s="15" t="s">
        <v>1088</v>
      </c>
      <c r="B24" s="15" t="s">
        <v>236</v>
      </c>
      <c r="C24" s="15" t="s">
        <v>988</v>
      </c>
      <c r="D24" s="15" t="s">
        <v>1089</v>
      </c>
      <c r="E24" s="15" t="s">
        <v>11</v>
      </c>
      <c r="F24" s="15" t="s">
        <v>7</v>
      </c>
      <c r="G24" s="15" t="s">
        <v>1090</v>
      </c>
      <c r="H24" s="15" t="s">
        <v>991</v>
      </c>
      <c r="I24" s="15" t="s">
        <v>1091</v>
      </c>
      <c r="J24" s="15"/>
      <c r="K24" s="15" t="s">
        <v>1092</v>
      </c>
      <c r="L24" s="15" t="s">
        <v>986</v>
      </c>
    </row>
    <row r="25" customFormat="false" ht="28.5" hidden="false" customHeight="true" outlineLevel="0" collapsed="false">
      <c r="A25" s="15" t="s">
        <v>1093</v>
      </c>
      <c r="B25" s="15" t="s">
        <v>236</v>
      </c>
      <c r="C25" s="15" t="s">
        <v>1094</v>
      </c>
      <c r="D25" s="15" t="s">
        <v>1095</v>
      </c>
      <c r="E25" s="15" t="s">
        <v>11</v>
      </c>
      <c r="F25" s="15" t="s">
        <v>7</v>
      </c>
      <c r="G25" s="15" t="s">
        <v>1096</v>
      </c>
      <c r="H25" s="15" t="s">
        <v>84</v>
      </c>
      <c r="I25" s="15" t="s">
        <v>1097</v>
      </c>
      <c r="J25" s="15"/>
      <c r="K25" s="15" t="s">
        <v>1098</v>
      </c>
      <c r="L25" s="15" t="s">
        <v>986</v>
      </c>
    </row>
    <row r="26" customFormat="false" ht="28.5" hidden="false" customHeight="true" outlineLevel="0" collapsed="false">
      <c r="A26" s="15" t="s">
        <v>1099</v>
      </c>
      <c r="B26" s="15" t="s">
        <v>236</v>
      </c>
      <c r="C26" s="15" t="s">
        <v>1003</v>
      </c>
      <c r="D26" s="15" t="s">
        <v>1100</v>
      </c>
      <c r="E26" s="15" t="s">
        <v>11</v>
      </c>
      <c r="F26" s="15" t="s">
        <v>7</v>
      </c>
      <c r="G26" s="15" t="s">
        <v>1101</v>
      </c>
      <c r="H26" s="15" t="s">
        <v>84</v>
      </c>
      <c r="I26" s="15" t="s">
        <v>1102</v>
      </c>
      <c r="J26" s="15"/>
      <c r="K26" s="15" t="s">
        <v>1103</v>
      </c>
      <c r="L26" s="15" t="s">
        <v>986</v>
      </c>
    </row>
    <row r="27" customFormat="false" ht="42" hidden="false" customHeight="true" outlineLevel="0" collapsed="false">
      <c r="A27" s="15" t="s">
        <v>1104</v>
      </c>
      <c r="B27" s="15" t="s">
        <v>236</v>
      </c>
      <c r="C27" s="15" t="s">
        <v>988</v>
      </c>
      <c r="D27" s="15" t="s">
        <v>1105</v>
      </c>
      <c r="E27" s="15" t="s">
        <v>11</v>
      </c>
      <c r="F27" s="15" t="s">
        <v>7</v>
      </c>
      <c r="G27" s="15" t="s">
        <v>1106</v>
      </c>
      <c r="H27" s="15" t="s">
        <v>991</v>
      </c>
      <c r="I27" s="15" t="s">
        <v>1107</v>
      </c>
      <c r="J27" s="15"/>
      <c r="K27" s="15" t="s">
        <v>1108</v>
      </c>
      <c r="L27" s="15" t="s">
        <v>986</v>
      </c>
    </row>
    <row r="28" customFormat="false" ht="54.75" hidden="false" customHeight="true" outlineLevel="0" collapsed="false">
      <c r="A28" s="15" t="s">
        <v>1109</v>
      </c>
      <c r="B28" s="15" t="s">
        <v>260</v>
      </c>
      <c r="C28" s="15"/>
      <c r="D28" s="15" t="s">
        <v>1110</v>
      </c>
      <c r="E28" s="15" t="s">
        <v>11</v>
      </c>
      <c r="F28" s="15" t="s">
        <v>7</v>
      </c>
      <c r="G28" s="15" t="s">
        <v>1111</v>
      </c>
      <c r="H28" s="15" t="s">
        <v>991</v>
      </c>
      <c r="I28" s="15" t="s">
        <v>1112</v>
      </c>
      <c r="J28" s="15"/>
      <c r="K28" s="15" t="s">
        <v>1113</v>
      </c>
      <c r="L28" s="15" t="s">
        <v>986</v>
      </c>
    </row>
    <row r="29" customFormat="false" ht="28.5" hidden="false" customHeight="true" outlineLevel="0" collapsed="false">
      <c r="A29" s="15" t="s">
        <v>1114</v>
      </c>
      <c r="B29" s="15" t="s">
        <v>260</v>
      </c>
      <c r="C29" s="15"/>
      <c r="D29" s="15" t="s">
        <v>1115</v>
      </c>
      <c r="E29" s="15" t="s">
        <v>11</v>
      </c>
      <c r="F29" s="15" t="s">
        <v>7</v>
      </c>
      <c r="G29" s="15" t="s">
        <v>1116</v>
      </c>
      <c r="H29" s="15" t="s">
        <v>991</v>
      </c>
      <c r="I29" s="15" t="s">
        <v>1117</v>
      </c>
      <c r="J29" s="15"/>
      <c r="K29" s="15" t="s">
        <v>1118</v>
      </c>
      <c r="L29" s="15" t="s">
        <v>986</v>
      </c>
    </row>
    <row r="30" customFormat="false" ht="28.5" hidden="false" customHeight="true" outlineLevel="0" collapsed="false">
      <c r="A30" s="15" t="s">
        <v>1119</v>
      </c>
      <c r="B30" s="15" t="s">
        <v>260</v>
      </c>
      <c r="C30" s="15"/>
      <c r="D30" s="15" t="s">
        <v>1120</v>
      </c>
      <c r="E30" s="15" t="s">
        <v>11</v>
      </c>
      <c r="F30" s="15" t="s">
        <v>7</v>
      </c>
      <c r="G30" s="15" t="s">
        <v>1121</v>
      </c>
      <c r="H30" s="15" t="s">
        <v>84</v>
      </c>
      <c r="I30" s="15" t="s">
        <v>1122</v>
      </c>
      <c r="J30" s="15"/>
      <c r="K30" s="15" t="s">
        <v>1123</v>
      </c>
      <c r="L30" s="15" t="s">
        <v>986</v>
      </c>
    </row>
    <row r="31" customFormat="false" ht="42" hidden="false" customHeight="true" outlineLevel="0" collapsed="false">
      <c r="A31" s="15" t="s">
        <v>1124</v>
      </c>
      <c r="B31" s="15" t="s">
        <v>260</v>
      </c>
      <c r="C31" s="15"/>
      <c r="D31" s="15" t="s">
        <v>1125</v>
      </c>
      <c r="E31" s="15" t="s">
        <v>11</v>
      </c>
      <c r="F31" s="15" t="s">
        <v>7</v>
      </c>
      <c r="G31" s="15" t="s">
        <v>1126</v>
      </c>
      <c r="H31" s="15" t="s">
        <v>991</v>
      </c>
      <c r="I31" s="15" t="s">
        <v>1127</v>
      </c>
      <c r="J31" s="15"/>
      <c r="K31" s="15" t="s">
        <v>1128</v>
      </c>
      <c r="L31" s="15" t="s">
        <v>986</v>
      </c>
    </row>
    <row r="32" customFormat="false" ht="67.5" hidden="false" customHeight="true" outlineLevel="0" collapsed="false">
      <c r="A32" s="15" t="s">
        <v>1129</v>
      </c>
      <c r="B32" s="15" t="s">
        <v>260</v>
      </c>
      <c r="C32" s="15"/>
      <c r="D32" s="15" t="s">
        <v>1130</v>
      </c>
      <c r="E32" s="15" t="s">
        <v>11</v>
      </c>
      <c r="F32" s="15" t="s">
        <v>7</v>
      </c>
      <c r="G32" s="15" t="s">
        <v>1131</v>
      </c>
      <c r="H32" s="15" t="s">
        <v>84</v>
      </c>
      <c r="I32" s="15" t="s">
        <v>1132</v>
      </c>
      <c r="J32" s="15" t="s">
        <v>1133</v>
      </c>
      <c r="K32" s="15" t="s">
        <v>1134</v>
      </c>
      <c r="L32" s="15" t="s">
        <v>986</v>
      </c>
    </row>
    <row r="33" customFormat="false" ht="54.75" hidden="false" customHeight="true" outlineLevel="0" collapsed="false">
      <c r="A33" s="15" t="s">
        <v>1135</v>
      </c>
      <c r="B33" s="15" t="s">
        <v>260</v>
      </c>
      <c r="C33" s="15"/>
      <c r="D33" s="15" t="s">
        <v>1136</v>
      </c>
      <c r="E33" s="15" t="s">
        <v>11</v>
      </c>
      <c r="F33" s="15" t="s">
        <v>7</v>
      </c>
      <c r="G33" s="15" t="s">
        <v>1137</v>
      </c>
      <c r="H33" s="15" t="s">
        <v>991</v>
      </c>
      <c r="I33" s="15" t="s">
        <v>1138</v>
      </c>
      <c r="J33" s="15"/>
      <c r="K33" s="15" t="s">
        <v>1139</v>
      </c>
      <c r="L33" s="15" t="s">
        <v>986</v>
      </c>
    </row>
    <row r="34" customFormat="false" ht="54.75" hidden="false" customHeight="true" outlineLevel="0" collapsed="false">
      <c r="A34" s="15" t="s">
        <v>1140</v>
      </c>
      <c r="B34" s="15" t="s">
        <v>260</v>
      </c>
      <c r="C34" s="15"/>
      <c r="D34" s="15" t="s">
        <v>1141</v>
      </c>
      <c r="E34" s="15" t="s">
        <v>11</v>
      </c>
      <c r="F34" s="15" t="s">
        <v>7</v>
      </c>
      <c r="G34" s="15" t="s">
        <v>1142</v>
      </c>
      <c r="H34" s="15" t="s">
        <v>84</v>
      </c>
      <c r="I34" s="15" t="s">
        <v>1143</v>
      </c>
      <c r="J34" s="15"/>
      <c r="K34" s="15" t="s">
        <v>1144</v>
      </c>
      <c r="L34" s="15" t="s">
        <v>986</v>
      </c>
    </row>
    <row r="35" customFormat="false" ht="42" hidden="false" customHeight="true" outlineLevel="0" collapsed="false">
      <c r="A35" s="15" t="s">
        <v>1145</v>
      </c>
      <c r="B35" s="15" t="s">
        <v>260</v>
      </c>
      <c r="C35" s="15"/>
      <c r="D35" s="15" t="s">
        <v>1146</v>
      </c>
      <c r="E35" s="15" t="s">
        <v>11</v>
      </c>
      <c r="F35" s="15" t="s">
        <v>7</v>
      </c>
      <c r="G35" s="15" t="s">
        <v>1147</v>
      </c>
      <c r="H35" s="15" t="s">
        <v>84</v>
      </c>
      <c r="I35" s="15" t="s">
        <v>1013</v>
      </c>
      <c r="J35" s="15"/>
      <c r="K35" s="15" t="s">
        <v>1148</v>
      </c>
      <c r="L35" s="15" t="s">
        <v>986</v>
      </c>
    </row>
    <row r="36" customFormat="false" ht="28.5" hidden="false" customHeight="true" outlineLevel="0" collapsed="false">
      <c r="A36" s="15" t="s">
        <v>1149</v>
      </c>
      <c r="B36" s="15" t="s">
        <v>260</v>
      </c>
      <c r="C36" s="15"/>
      <c r="D36" s="15" t="s">
        <v>1150</v>
      </c>
      <c r="E36" s="15" t="s">
        <v>11</v>
      </c>
      <c r="F36" s="15" t="s">
        <v>7</v>
      </c>
      <c r="G36" s="15" t="s">
        <v>1151</v>
      </c>
      <c r="H36" s="15" t="s">
        <v>84</v>
      </c>
      <c r="I36" s="15" t="s">
        <v>1152</v>
      </c>
      <c r="J36" s="15"/>
      <c r="K36" s="15" t="s">
        <v>1153</v>
      </c>
      <c r="L36" s="15" t="s">
        <v>986</v>
      </c>
    </row>
    <row r="37" customFormat="false" ht="67.5" hidden="false" customHeight="true" outlineLevel="0" collapsed="false">
      <c r="A37" s="15" t="s">
        <v>1154</v>
      </c>
      <c r="B37" s="15" t="s">
        <v>260</v>
      </c>
      <c r="C37" s="15" t="s">
        <v>1155</v>
      </c>
      <c r="D37" s="15" t="s">
        <v>1156</v>
      </c>
      <c r="E37" s="15" t="s">
        <v>11</v>
      </c>
      <c r="F37" s="15" t="s">
        <v>7</v>
      </c>
      <c r="G37" s="15" t="s">
        <v>1157</v>
      </c>
      <c r="H37" s="15" t="s">
        <v>84</v>
      </c>
      <c r="I37" s="15" t="s">
        <v>1158</v>
      </c>
      <c r="J37" s="15"/>
      <c r="K37" s="15" t="s">
        <v>1159</v>
      </c>
      <c r="L37" s="15" t="s">
        <v>1009</v>
      </c>
    </row>
    <row r="38" customFormat="false" ht="81" hidden="false" customHeight="true" outlineLevel="0" collapsed="false">
      <c r="A38" s="15" t="s">
        <v>1160</v>
      </c>
      <c r="B38" s="15" t="s">
        <v>260</v>
      </c>
      <c r="C38" s="15" t="s">
        <v>1161</v>
      </c>
      <c r="D38" s="15" t="s">
        <v>1162</v>
      </c>
      <c r="E38" s="15" t="s">
        <v>11</v>
      </c>
      <c r="F38" s="15" t="s">
        <v>7</v>
      </c>
      <c r="G38" s="15" t="s">
        <v>1163</v>
      </c>
      <c r="H38" s="15" t="s">
        <v>991</v>
      </c>
      <c r="I38" s="15" t="s">
        <v>1164</v>
      </c>
      <c r="J38" s="15"/>
      <c r="K38" s="15" t="s">
        <v>1165</v>
      </c>
      <c r="L38" s="15" t="s">
        <v>1009</v>
      </c>
    </row>
  </sheetData>
  <autoFilter ref="A5:L38"/>
  <conditionalFormatting sqref="B6:B38">
    <cfRule type="expression" priority="2" aboveAverage="0" equalAverage="0" bottom="0" percent="0" rank="0" text="" dxfId="13">
      <formula>ISNUMBER(SEARCH("Critical",B6))</formula>
    </cfRule>
    <cfRule type="expression" priority="3" aboveAverage="0" equalAverage="0" bottom="0" percent="0" rank="0" text="" dxfId="14">
      <formula>ISNUMBER(SEARCH("High",B6))</formula>
    </cfRule>
    <cfRule type="expression" priority="4" aboveAverage="0" equalAverage="0" bottom="0" percent="0" rank="0" text="" dxfId="15">
      <formula>ISNUMBER(SEARCH("Medium",B6))</formula>
    </cfRule>
    <cfRule type="expression" priority="5" aboveAverage="0" equalAverage="0" bottom="0" percent="0" rank="0" text="" dxfId="16">
      <formula>ISNUMBER(SEARCH("Low",B6))</formula>
    </cfRule>
    <cfRule type="expression" priority="6" aboveAverage="0" equalAverage="0" bottom="0" percent="0" rank="0" text="" dxfId="17">
      <formula>ISNUMBER(SEARCH("Info",B6))</formula>
    </cfRule>
  </conditionalFormatting>
  <conditionalFormatting sqref="E6:E38">
    <cfRule type="expression" priority="7" aboveAverage="0" equalAverage="0" bottom="0" percent="0" rank="0" text="" dxfId="15">
      <formula>ISNUMBER(SEARCH("Partly",E6))</formula>
    </cfRule>
    <cfRule type="expression" priority="8" aboveAverage="0" equalAverage="0" bottom="0" percent="0" rank="0" text="" dxfId="6">
      <formula>ISNUMBER(SEARCH("Fixed",E6))</formula>
    </cfRule>
    <cfRule type="expression" priority="9" aboveAverage="0" equalAverage="0" bottom="0" percent="0" rank="0" text="" dxfId="18">
      <formula>ISNUMBER(SEARCH("Was wrong",E6))</formula>
    </cfRule>
    <cfRule type="expression" priority="10" aboveAverage="0" equalAverage="0" bottom="0" percent="0" rank="0" text="" dxfId="18">
      <formula>ISNUMBER(SEARCH("Not wanted",E6))</formula>
    </cfRule>
    <cfRule type="expression" priority="11" aboveAverage="0" equalAverage="0" bottom="0" percent="0" rank="0" text="" dxfId="19">
      <formula>ISNUMBER(SEARCH("Andy to decide",E6))</formula>
    </cfRule>
    <cfRule type="expression" priority="12" aboveAverage="0" equalAverage="0" bottom="0" percent="0" rank="0" text="" dxfId="19">
      <formula>ISNUMBER(SEARCH("Your task",E6))</formula>
    </cfRule>
    <cfRule type="expression" priority="13" aboveAverage="0" equalAverage="0" bottom="0" percent="0" rank="0" text="" dxfId="18">
      <formula>ISNUMBER(SEARCH("Later",E6))</formula>
    </cfRule>
    <cfRule type="expression" priority="14" aboveAverage="0" equalAverage="0" bottom="0" percent="0" rank="0" text="" dxfId="20">
      <formula>ISNUMBER(SEARCH("Needs check",E6))</formula>
    </cfRule>
    <cfRule type="expression" priority="15" aboveAverage="0" equalAverage="0" bottom="0" percent="0" rank="0" text="" dxfId="17">
      <formula>ISNUMBER(SEARCH("Info",E6))</formula>
    </cfRule>
    <cfRule type="expression" priority="16" aboveAverage="0" equalAverage="0" bottom="0" percent="0" rank="0" text="" dxfId="21">
      <formula>ISNUMBER(SEARCH("Open",E6))</formula>
    </cfRule>
  </conditionalFormatting>
  <conditionalFormatting sqref="F6:F38">
    <cfRule type="expression" priority="17" aboveAverage="0" equalAverage="0" bottom="0" percent="0" rank="0" text="" dxfId="15">
      <formula>ISNUMBER(SEARCH("Partly",F6))</formula>
    </cfRule>
    <cfRule type="expression" priority="18" aboveAverage="0" equalAverage="0" bottom="0" percent="0" rank="0" text="" dxfId="6">
      <formula>ISNUMBER(SEARCH("Fixed",F6))</formula>
    </cfRule>
    <cfRule type="expression" priority="19" aboveAverage="0" equalAverage="0" bottom="0" percent="0" rank="0" text="" dxfId="18">
      <formula>ISNUMBER(SEARCH("Was wrong",F6))</formula>
    </cfRule>
    <cfRule type="expression" priority="20" aboveAverage="0" equalAverage="0" bottom="0" percent="0" rank="0" text="" dxfId="18">
      <formula>ISNUMBER(SEARCH("Not wanted",F6))</formula>
    </cfRule>
    <cfRule type="expression" priority="21" aboveAverage="0" equalAverage="0" bottom="0" percent="0" rank="0" text="" dxfId="19">
      <formula>ISNUMBER(SEARCH("Andy to decide",F6))</formula>
    </cfRule>
    <cfRule type="expression" priority="22" aboveAverage="0" equalAverage="0" bottom="0" percent="0" rank="0" text="" dxfId="19">
      <formula>ISNUMBER(SEARCH("Your task",F6))</formula>
    </cfRule>
    <cfRule type="expression" priority="23" aboveAverage="0" equalAverage="0" bottom="0" percent="0" rank="0" text="" dxfId="18">
      <formula>ISNUMBER(SEARCH("Later",F6))</formula>
    </cfRule>
    <cfRule type="expression" priority="24" aboveAverage="0" equalAverage="0" bottom="0" percent="0" rank="0" text="" dxfId="20">
      <formula>ISNUMBER(SEARCH("Needs check",F6))</formula>
    </cfRule>
    <cfRule type="expression" priority="25" aboveAverage="0" equalAverage="0" bottom="0" percent="0" rank="0" text="" dxfId="17">
      <formula>ISNUMBER(SEARCH("Info",F6))</formula>
    </cfRule>
    <cfRule type="expression" priority="26" aboveAverage="0" equalAverage="0" bottom="0" percent="0" rank="0" text="" dxfId="21">
      <formula>ISNUMBER(SEARCH("Open",F6))</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3262B"/>
    <pageSetUpPr fitToPage="false"/>
  </sheetPr>
  <dimension ref="A1:M41"/>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8"/>
    <col collapsed="false" customWidth="true" hidden="false" outlineLevel="0" max="3" min="3" style="0" width="10"/>
    <col collapsed="false" customWidth="true" hidden="false" outlineLevel="0" max="4" min="4" style="0" width="22"/>
    <col collapsed="false" customWidth="true" hidden="false" outlineLevel="0" max="5" min="5" style="0" width="40"/>
    <col collapsed="false" customWidth="true" hidden="false" outlineLevel="0" max="6" min="6" style="0" width="16"/>
    <col collapsed="false" customWidth="true" hidden="false" outlineLevel="0" max="7" min="7" style="0" width="13"/>
    <col collapsed="false" customWidth="true" hidden="false" outlineLevel="0" max="8" min="8" style="0" width="50"/>
    <col collapsed="false" customWidth="true" hidden="false" outlineLevel="0" max="9" min="9" style="0" width="14"/>
    <col collapsed="false" customWidth="true" hidden="false" outlineLevel="0" max="10" min="10" style="0" width="36"/>
    <col collapsed="false" customWidth="true" hidden="false" outlineLevel="0" max="11" min="11" style="0" width="55"/>
    <col collapsed="false" customWidth="true" hidden="false" outlineLevel="0" max="12" min="12" style="0" width="30"/>
    <col collapsed="false" customWidth="true" hidden="false" outlineLevel="0" max="13" min="13" style="0" width="14"/>
  </cols>
  <sheetData>
    <row r="1" customFormat="false" ht="19.7" hidden="false" customHeight="false" outlineLevel="0" collapsed="false">
      <c r="A1" s="1" t="s">
        <v>1166</v>
      </c>
    </row>
    <row r="2" customFormat="false" ht="15" hidden="false" customHeight="false" outlineLevel="0" collapsed="false">
      <c r="A2" s="11" t="s">
        <v>1167</v>
      </c>
    </row>
    <row r="4" customFormat="false" ht="27.75" hidden="false" customHeight="true" outlineLevel="0" collapsed="false">
      <c r="A4" s="14" t="s">
        <v>225</v>
      </c>
      <c r="B4" s="14" t="s">
        <v>1168</v>
      </c>
      <c r="C4" s="14" t="s">
        <v>226</v>
      </c>
      <c r="D4" s="14" t="s">
        <v>79</v>
      </c>
      <c r="E4" s="14" t="s">
        <v>228</v>
      </c>
      <c r="F4" s="14" t="s">
        <v>229</v>
      </c>
      <c r="G4" s="14" t="s">
        <v>230</v>
      </c>
      <c r="H4" s="14" t="s">
        <v>80</v>
      </c>
      <c r="I4" s="14" t="s">
        <v>231</v>
      </c>
      <c r="J4" s="14" t="s">
        <v>83</v>
      </c>
      <c r="K4" s="14" t="s">
        <v>1169</v>
      </c>
      <c r="L4" s="14" t="s">
        <v>1170</v>
      </c>
      <c r="M4" s="14" t="s">
        <v>1171</v>
      </c>
    </row>
    <row r="5" customFormat="false" ht="67.5" hidden="false" customHeight="true" outlineLevel="0" collapsed="false">
      <c r="A5" s="15" t="s">
        <v>1172</v>
      </c>
      <c r="B5" s="15" t="s">
        <v>1173</v>
      </c>
      <c r="C5" s="15" t="s">
        <v>260</v>
      </c>
      <c r="D5" s="15" t="s">
        <v>1174</v>
      </c>
      <c r="E5" s="15" t="s">
        <v>1175</v>
      </c>
      <c r="F5" s="15" t="s">
        <v>26</v>
      </c>
      <c r="G5" s="15" t="s">
        <v>11</v>
      </c>
      <c r="H5" s="15" t="s">
        <v>1176</v>
      </c>
      <c r="I5" s="15"/>
      <c r="J5" s="15" t="s">
        <v>1177</v>
      </c>
      <c r="K5" s="15" t="s">
        <v>1178</v>
      </c>
      <c r="L5" s="15" t="s">
        <v>1179</v>
      </c>
      <c r="M5" s="15"/>
    </row>
    <row r="6" customFormat="false" ht="67.5" hidden="false" customHeight="true" outlineLevel="0" collapsed="false">
      <c r="A6" s="15" t="s">
        <v>1001</v>
      </c>
      <c r="B6" s="15" t="s">
        <v>1180</v>
      </c>
      <c r="C6" s="15" t="s">
        <v>1002</v>
      </c>
      <c r="D6" s="15" t="s">
        <v>1003</v>
      </c>
      <c r="E6" s="15" t="s">
        <v>1004</v>
      </c>
      <c r="F6" s="15" t="s">
        <v>11</v>
      </c>
      <c r="G6" s="15" t="s">
        <v>9</v>
      </c>
      <c r="H6" s="15" t="s">
        <v>1181</v>
      </c>
      <c r="I6" s="15" t="s">
        <v>84</v>
      </c>
      <c r="J6" s="15" t="s">
        <v>1182</v>
      </c>
      <c r="K6" s="15" t="s">
        <v>1008</v>
      </c>
      <c r="L6" s="15" t="s">
        <v>1183</v>
      </c>
      <c r="M6" s="15" t="s">
        <v>1184</v>
      </c>
    </row>
    <row r="7" customFormat="false" ht="223.5" hidden="false" customHeight="true" outlineLevel="0" collapsed="false">
      <c r="A7" s="15" t="s">
        <v>1185</v>
      </c>
      <c r="B7" s="15" t="s">
        <v>1186</v>
      </c>
      <c r="C7" s="15" t="s">
        <v>282</v>
      </c>
      <c r="D7" s="15" t="s">
        <v>1187</v>
      </c>
      <c r="E7" s="15" t="s">
        <v>1188</v>
      </c>
      <c r="F7" s="15" t="s">
        <v>1189</v>
      </c>
      <c r="G7" s="15" t="s">
        <v>7</v>
      </c>
      <c r="H7" s="15" t="s">
        <v>1190</v>
      </c>
      <c r="I7" s="15" t="s">
        <v>1191</v>
      </c>
      <c r="J7" s="15" t="s">
        <v>1192</v>
      </c>
      <c r="K7" s="15" t="s">
        <v>1193</v>
      </c>
      <c r="L7" s="15" t="s">
        <v>1194</v>
      </c>
      <c r="M7" s="15"/>
    </row>
    <row r="8" customFormat="false" ht="145.5" hidden="false" customHeight="true" outlineLevel="0" collapsed="false">
      <c r="A8" s="15" t="s">
        <v>1195</v>
      </c>
      <c r="B8" s="15" t="s">
        <v>1186</v>
      </c>
      <c r="C8" s="15" t="s">
        <v>282</v>
      </c>
      <c r="D8" s="15" t="s">
        <v>1196</v>
      </c>
      <c r="E8" s="15" t="s">
        <v>1197</v>
      </c>
      <c r="F8" s="15" t="s">
        <v>1189</v>
      </c>
      <c r="G8" s="15" t="s">
        <v>7</v>
      </c>
      <c r="H8" s="15" t="s">
        <v>1190</v>
      </c>
      <c r="I8" s="15" t="s">
        <v>1191</v>
      </c>
      <c r="J8" s="15" t="s">
        <v>1192</v>
      </c>
      <c r="K8" s="15" t="s">
        <v>1198</v>
      </c>
      <c r="L8" s="15" t="s">
        <v>1199</v>
      </c>
      <c r="M8" s="15"/>
    </row>
    <row r="9" customFormat="false" ht="93.75" hidden="false" customHeight="true" outlineLevel="0" collapsed="false">
      <c r="A9" s="15" t="s">
        <v>1200</v>
      </c>
      <c r="B9" s="15" t="s">
        <v>1201</v>
      </c>
      <c r="C9" s="15" t="s">
        <v>236</v>
      </c>
      <c r="D9" s="15" t="s">
        <v>1202</v>
      </c>
      <c r="E9" s="15" t="s">
        <v>1203</v>
      </c>
      <c r="F9" s="15" t="s">
        <v>24</v>
      </c>
      <c r="G9" s="15" t="s">
        <v>7</v>
      </c>
      <c r="H9" s="15" t="s">
        <v>1204</v>
      </c>
      <c r="I9" s="15" t="s">
        <v>84</v>
      </c>
      <c r="J9" s="15" t="s">
        <v>1205</v>
      </c>
      <c r="K9" s="15" t="s">
        <v>1206</v>
      </c>
      <c r="L9" s="15" t="s">
        <v>1207</v>
      </c>
      <c r="M9" s="15" t="s">
        <v>1208</v>
      </c>
    </row>
    <row r="10" customFormat="false" ht="145.5" hidden="false" customHeight="true" outlineLevel="0" collapsed="false">
      <c r="A10" s="15" t="s">
        <v>1209</v>
      </c>
      <c r="B10" s="15" t="s">
        <v>1210</v>
      </c>
      <c r="C10" s="15" t="s">
        <v>236</v>
      </c>
      <c r="D10" s="15" t="s">
        <v>1211</v>
      </c>
      <c r="E10" s="15" t="s">
        <v>1212</v>
      </c>
      <c r="F10" s="15" t="s">
        <v>11</v>
      </c>
      <c r="G10" s="15" t="s">
        <v>7</v>
      </c>
      <c r="H10" s="15" t="s">
        <v>1213</v>
      </c>
      <c r="I10" s="15" t="s">
        <v>84</v>
      </c>
      <c r="J10" s="15" t="s">
        <v>1214</v>
      </c>
      <c r="K10" s="15" t="s">
        <v>1215</v>
      </c>
      <c r="L10" s="15" t="s">
        <v>1216</v>
      </c>
      <c r="M10" s="15" t="s">
        <v>1217</v>
      </c>
    </row>
    <row r="11" customFormat="false" ht="106.5" hidden="false" customHeight="true" outlineLevel="0" collapsed="false">
      <c r="A11" s="15" t="s">
        <v>1208</v>
      </c>
      <c r="B11" s="15" t="s">
        <v>1210</v>
      </c>
      <c r="C11" s="15" t="s">
        <v>236</v>
      </c>
      <c r="D11" s="15" t="s">
        <v>1218</v>
      </c>
      <c r="E11" s="15" t="s">
        <v>1219</v>
      </c>
      <c r="F11" s="15" t="s">
        <v>24</v>
      </c>
      <c r="G11" s="15" t="s">
        <v>7</v>
      </c>
      <c r="H11" s="15" t="s">
        <v>1220</v>
      </c>
      <c r="I11" s="15" t="s">
        <v>84</v>
      </c>
      <c r="J11" s="15" t="s">
        <v>1205</v>
      </c>
      <c r="K11" s="15" t="s">
        <v>1221</v>
      </c>
      <c r="L11" s="15" t="s">
        <v>1222</v>
      </c>
      <c r="M11" s="15" t="s">
        <v>1200</v>
      </c>
    </row>
    <row r="12" customFormat="false" ht="106.5" hidden="false" customHeight="true" outlineLevel="0" collapsed="false">
      <c r="A12" s="15" t="s">
        <v>1223</v>
      </c>
      <c r="B12" s="15" t="s">
        <v>1186</v>
      </c>
      <c r="C12" s="15" t="s">
        <v>236</v>
      </c>
      <c r="D12" s="15" t="s">
        <v>1224</v>
      </c>
      <c r="E12" s="15" t="s">
        <v>1225</v>
      </c>
      <c r="F12" s="15" t="s">
        <v>1189</v>
      </c>
      <c r="G12" s="15" t="s">
        <v>7</v>
      </c>
      <c r="H12" s="15" t="s">
        <v>1190</v>
      </c>
      <c r="I12" s="15" t="s">
        <v>1191</v>
      </c>
      <c r="J12" s="15" t="s">
        <v>1192</v>
      </c>
      <c r="K12" s="15" t="s">
        <v>1226</v>
      </c>
      <c r="L12" s="15" t="s">
        <v>1227</v>
      </c>
      <c r="M12" s="15" t="s">
        <v>1228</v>
      </c>
    </row>
    <row r="13" customFormat="false" ht="54.75" hidden="false" customHeight="true" outlineLevel="0" collapsed="false">
      <c r="A13" s="15" t="s">
        <v>1229</v>
      </c>
      <c r="B13" s="15" t="s">
        <v>1186</v>
      </c>
      <c r="C13" s="15" t="s">
        <v>236</v>
      </c>
      <c r="D13" s="15" t="s">
        <v>1230</v>
      </c>
      <c r="E13" s="15" t="s">
        <v>1231</v>
      </c>
      <c r="F13" s="15" t="s">
        <v>1189</v>
      </c>
      <c r="G13" s="15" t="s">
        <v>7</v>
      </c>
      <c r="H13" s="15" t="s">
        <v>1190</v>
      </c>
      <c r="I13" s="15" t="s">
        <v>1191</v>
      </c>
      <c r="J13" s="15" t="s">
        <v>1192</v>
      </c>
      <c r="K13" s="15" t="s">
        <v>1232</v>
      </c>
      <c r="L13" s="15" t="s">
        <v>1233</v>
      </c>
      <c r="M13" s="15" t="s">
        <v>1234</v>
      </c>
    </row>
    <row r="14" customFormat="false" ht="171.75" hidden="false" customHeight="true" outlineLevel="0" collapsed="false">
      <c r="A14" s="15" t="s">
        <v>1235</v>
      </c>
      <c r="B14" s="15" t="s">
        <v>1186</v>
      </c>
      <c r="C14" s="15" t="s">
        <v>236</v>
      </c>
      <c r="D14" s="15" t="s">
        <v>1236</v>
      </c>
      <c r="E14" s="15" t="s">
        <v>1237</v>
      </c>
      <c r="F14" s="15" t="s">
        <v>1189</v>
      </c>
      <c r="G14" s="15" t="s">
        <v>7</v>
      </c>
      <c r="H14" s="15" t="s">
        <v>1190</v>
      </c>
      <c r="I14" s="15" t="s">
        <v>1191</v>
      </c>
      <c r="J14" s="15" t="s">
        <v>1192</v>
      </c>
      <c r="K14" s="15" t="s">
        <v>1238</v>
      </c>
      <c r="L14" s="15" t="s">
        <v>1239</v>
      </c>
      <c r="M14" s="15" t="s">
        <v>1240</v>
      </c>
    </row>
    <row r="15" customFormat="false" ht="120" hidden="false" customHeight="true" outlineLevel="0" collapsed="false">
      <c r="A15" s="15" t="s">
        <v>1241</v>
      </c>
      <c r="B15" s="15" t="s">
        <v>1186</v>
      </c>
      <c r="C15" s="15" t="s">
        <v>236</v>
      </c>
      <c r="D15" s="15" t="s">
        <v>1242</v>
      </c>
      <c r="E15" s="15" t="s">
        <v>1243</v>
      </c>
      <c r="F15" s="15" t="s">
        <v>1189</v>
      </c>
      <c r="G15" s="15" t="s">
        <v>7</v>
      </c>
      <c r="H15" s="15" t="s">
        <v>1190</v>
      </c>
      <c r="I15" s="15" t="s">
        <v>1191</v>
      </c>
      <c r="J15" s="15" t="s">
        <v>1192</v>
      </c>
      <c r="K15" s="15" t="s">
        <v>1244</v>
      </c>
      <c r="L15" s="15" t="s">
        <v>1245</v>
      </c>
      <c r="M15" s="15" t="s">
        <v>1246</v>
      </c>
    </row>
    <row r="16" customFormat="false" ht="93.75" hidden="false" customHeight="true" outlineLevel="0" collapsed="false">
      <c r="A16" s="15" t="s">
        <v>1247</v>
      </c>
      <c r="B16" s="15" t="s">
        <v>1186</v>
      </c>
      <c r="C16" s="15" t="s">
        <v>236</v>
      </c>
      <c r="D16" s="15" t="s">
        <v>1196</v>
      </c>
      <c r="E16" s="15" t="s">
        <v>1248</v>
      </c>
      <c r="F16" s="15" t="s">
        <v>1189</v>
      </c>
      <c r="G16" s="15" t="s">
        <v>7</v>
      </c>
      <c r="H16" s="15" t="s">
        <v>1190</v>
      </c>
      <c r="I16" s="15" t="s">
        <v>1191</v>
      </c>
      <c r="J16" s="15" t="s">
        <v>1192</v>
      </c>
      <c r="K16" s="15" t="s">
        <v>1249</v>
      </c>
      <c r="L16" s="15" t="s">
        <v>1250</v>
      </c>
      <c r="M16" s="15"/>
    </row>
    <row r="17" customFormat="false" ht="81" hidden="false" customHeight="true" outlineLevel="0" collapsed="false">
      <c r="A17" s="15" t="s">
        <v>1251</v>
      </c>
      <c r="B17" s="15" t="s">
        <v>1186</v>
      </c>
      <c r="C17" s="15" t="s">
        <v>236</v>
      </c>
      <c r="D17" s="15" t="s">
        <v>1252</v>
      </c>
      <c r="E17" s="15" t="s">
        <v>1253</v>
      </c>
      <c r="F17" s="15" t="s">
        <v>1189</v>
      </c>
      <c r="G17" s="15" t="s">
        <v>7</v>
      </c>
      <c r="H17" s="15" t="s">
        <v>1190</v>
      </c>
      <c r="I17" s="15" t="s">
        <v>1191</v>
      </c>
      <c r="J17" s="15" t="s">
        <v>1192</v>
      </c>
      <c r="K17" s="15" t="s">
        <v>1254</v>
      </c>
      <c r="L17" s="15" t="s">
        <v>1255</v>
      </c>
      <c r="M17" s="15"/>
    </row>
    <row r="18" customFormat="false" ht="81" hidden="false" customHeight="true" outlineLevel="0" collapsed="false">
      <c r="A18" s="15" t="s">
        <v>1256</v>
      </c>
      <c r="B18" s="15" t="s">
        <v>1173</v>
      </c>
      <c r="C18" s="15" t="s">
        <v>260</v>
      </c>
      <c r="D18" s="15" t="s">
        <v>1257</v>
      </c>
      <c r="E18" s="15" t="s">
        <v>1258</v>
      </c>
      <c r="F18" s="15" t="s">
        <v>11</v>
      </c>
      <c r="G18" s="15" t="s">
        <v>7</v>
      </c>
      <c r="H18" s="15" t="s">
        <v>1259</v>
      </c>
      <c r="I18" s="15" t="s">
        <v>84</v>
      </c>
      <c r="J18" s="15" t="s">
        <v>1260</v>
      </c>
      <c r="K18" s="15" t="s">
        <v>1261</v>
      </c>
      <c r="L18" s="15" t="s">
        <v>1262</v>
      </c>
      <c r="M18" s="15" t="s">
        <v>1154</v>
      </c>
    </row>
    <row r="19" customFormat="false" ht="54.75" hidden="false" customHeight="true" outlineLevel="0" collapsed="false">
      <c r="A19" s="15" t="s">
        <v>1263</v>
      </c>
      <c r="B19" s="15" t="s">
        <v>1201</v>
      </c>
      <c r="C19" s="15" t="s">
        <v>260</v>
      </c>
      <c r="D19" s="15" t="s">
        <v>1264</v>
      </c>
      <c r="E19" s="15" t="s">
        <v>1265</v>
      </c>
      <c r="F19" s="15" t="s">
        <v>11</v>
      </c>
      <c r="G19" s="15" t="s">
        <v>7</v>
      </c>
      <c r="H19" s="15" t="s">
        <v>1266</v>
      </c>
      <c r="I19" s="15" t="s">
        <v>84</v>
      </c>
      <c r="J19" s="15" t="s">
        <v>1267</v>
      </c>
      <c r="K19" s="15" t="s">
        <v>1268</v>
      </c>
      <c r="L19" s="15" t="s">
        <v>1269</v>
      </c>
      <c r="M19" s="15"/>
    </row>
    <row r="20" customFormat="false" ht="67.5" hidden="false" customHeight="true" outlineLevel="0" collapsed="false">
      <c r="A20" s="15" t="s">
        <v>1228</v>
      </c>
      <c r="B20" s="15" t="s">
        <v>1201</v>
      </c>
      <c r="C20" s="15" t="s">
        <v>260</v>
      </c>
      <c r="D20" s="15" t="s">
        <v>1270</v>
      </c>
      <c r="E20" s="15" t="s">
        <v>1271</v>
      </c>
      <c r="F20" s="15" t="s">
        <v>1189</v>
      </c>
      <c r="G20" s="15" t="s">
        <v>7</v>
      </c>
      <c r="H20" s="15" t="s">
        <v>1190</v>
      </c>
      <c r="I20" s="15" t="s">
        <v>1191</v>
      </c>
      <c r="J20" s="15" t="s">
        <v>1192</v>
      </c>
      <c r="K20" s="15" t="s">
        <v>1272</v>
      </c>
      <c r="L20" s="15" t="s">
        <v>1273</v>
      </c>
      <c r="M20" s="15" t="s">
        <v>1223</v>
      </c>
    </row>
    <row r="21" customFormat="false" ht="42" hidden="false" customHeight="true" outlineLevel="0" collapsed="false">
      <c r="A21" s="15" t="s">
        <v>1274</v>
      </c>
      <c r="B21" s="15" t="s">
        <v>1201</v>
      </c>
      <c r="C21" s="15" t="s">
        <v>260</v>
      </c>
      <c r="D21" s="15" t="s">
        <v>1275</v>
      </c>
      <c r="E21" s="15" t="s">
        <v>1276</v>
      </c>
      <c r="F21" s="15" t="s">
        <v>1189</v>
      </c>
      <c r="G21" s="15" t="s">
        <v>7</v>
      </c>
      <c r="H21" s="15" t="s">
        <v>1190</v>
      </c>
      <c r="I21" s="15" t="s">
        <v>1191</v>
      </c>
      <c r="J21" s="15" t="s">
        <v>1192</v>
      </c>
      <c r="K21" s="15" t="s">
        <v>1277</v>
      </c>
      <c r="L21" s="15" t="s">
        <v>1278</v>
      </c>
      <c r="M21" s="15" t="s">
        <v>1279</v>
      </c>
    </row>
    <row r="22" customFormat="false" ht="81" hidden="false" customHeight="true" outlineLevel="0" collapsed="false">
      <c r="A22" s="15" t="s">
        <v>1280</v>
      </c>
      <c r="B22" s="15" t="s">
        <v>1201</v>
      </c>
      <c r="C22" s="15" t="s">
        <v>260</v>
      </c>
      <c r="D22" s="15" t="s">
        <v>1281</v>
      </c>
      <c r="E22" s="15" t="s">
        <v>1282</v>
      </c>
      <c r="F22" s="15" t="s">
        <v>11</v>
      </c>
      <c r="G22" s="15" t="s">
        <v>7</v>
      </c>
      <c r="H22" s="15" t="s">
        <v>1283</v>
      </c>
      <c r="I22" s="15" t="s">
        <v>84</v>
      </c>
      <c r="J22" s="15" t="s">
        <v>1284</v>
      </c>
      <c r="K22" s="15" t="s">
        <v>1285</v>
      </c>
      <c r="L22" s="15" t="s">
        <v>1286</v>
      </c>
      <c r="M22" s="15"/>
    </row>
    <row r="23" customFormat="false" ht="67.5" hidden="false" customHeight="true" outlineLevel="0" collapsed="false">
      <c r="A23" s="15" t="s">
        <v>1287</v>
      </c>
      <c r="B23" s="15" t="s">
        <v>1210</v>
      </c>
      <c r="C23" s="15" t="s">
        <v>260</v>
      </c>
      <c r="D23" s="15" t="s">
        <v>1288</v>
      </c>
      <c r="E23" s="15" t="s">
        <v>1289</v>
      </c>
      <c r="F23" s="15" t="s">
        <v>11</v>
      </c>
      <c r="G23" s="15" t="s">
        <v>7</v>
      </c>
      <c r="H23" s="15" t="s">
        <v>1290</v>
      </c>
      <c r="I23" s="15" t="s">
        <v>84</v>
      </c>
      <c r="J23" s="15" t="s">
        <v>1291</v>
      </c>
      <c r="K23" s="15" t="s">
        <v>1292</v>
      </c>
      <c r="L23" s="15" t="s">
        <v>1293</v>
      </c>
      <c r="M23" s="15"/>
    </row>
    <row r="24" customFormat="false" ht="67.5" hidden="false" customHeight="true" outlineLevel="0" collapsed="false">
      <c r="A24" s="15" t="s">
        <v>1294</v>
      </c>
      <c r="B24" s="15" t="s">
        <v>1210</v>
      </c>
      <c r="C24" s="15" t="s">
        <v>260</v>
      </c>
      <c r="D24" s="15" t="s">
        <v>1295</v>
      </c>
      <c r="E24" s="15" t="s">
        <v>1296</v>
      </c>
      <c r="F24" s="15" t="s">
        <v>1189</v>
      </c>
      <c r="G24" s="15" t="s">
        <v>7</v>
      </c>
      <c r="H24" s="15" t="s">
        <v>1190</v>
      </c>
      <c r="I24" s="15" t="s">
        <v>1191</v>
      </c>
      <c r="J24" s="15" t="s">
        <v>1192</v>
      </c>
      <c r="K24" s="15" t="s">
        <v>1297</v>
      </c>
      <c r="L24" s="15" t="s">
        <v>1298</v>
      </c>
      <c r="M24" s="15"/>
    </row>
    <row r="25" customFormat="false" ht="159" hidden="false" customHeight="true" outlineLevel="0" collapsed="false">
      <c r="A25" s="15" t="s">
        <v>1299</v>
      </c>
      <c r="B25" s="15" t="s">
        <v>1210</v>
      </c>
      <c r="C25" s="15" t="s">
        <v>260</v>
      </c>
      <c r="D25" s="15" t="s">
        <v>1300</v>
      </c>
      <c r="E25" s="15" t="s">
        <v>1301</v>
      </c>
      <c r="F25" s="15" t="s">
        <v>24</v>
      </c>
      <c r="G25" s="15" t="s">
        <v>7</v>
      </c>
      <c r="H25" s="15" t="s">
        <v>1302</v>
      </c>
      <c r="I25" s="15" t="s">
        <v>84</v>
      </c>
      <c r="J25" s="15" t="s">
        <v>1303</v>
      </c>
      <c r="K25" s="15" t="s">
        <v>1304</v>
      </c>
      <c r="L25" s="15" t="s">
        <v>1305</v>
      </c>
      <c r="M25" s="15"/>
    </row>
    <row r="26" customFormat="false" ht="54.75" hidden="false" customHeight="true" outlineLevel="0" collapsed="false">
      <c r="A26" s="15" t="s">
        <v>1306</v>
      </c>
      <c r="B26" s="15" t="s">
        <v>1210</v>
      </c>
      <c r="C26" s="15" t="s">
        <v>260</v>
      </c>
      <c r="D26" s="15" t="s">
        <v>1307</v>
      </c>
      <c r="E26" s="15" t="s">
        <v>1308</v>
      </c>
      <c r="F26" s="15" t="s">
        <v>11</v>
      </c>
      <c r="G26" s="15" t="s">
        <v>7</v>
      </c>
      <c r="H26" s="15" t="s">
        <v>1309</v>
      </c>
      <c r="I26" s="15" t="s">
        <v>84</v>
      </c>
      <c r="J26" s="15" t="s">
        <v>1310</v>
      </c>
      <c r="K26" s="15" t="s">
        <v>1311</v>
      </c>
      <c r="L26" s="15" t="s">
        <v>1312</v>
      </c>
      <c r="M26" s="15"/>
    </row>
    <row r="27" customFormat="false" ht="54.75" hidden="false" customHeight="true" outlineLevel="0" collapsed="false">
      <c r="A27" s="15" t="s">
        <v>1313</v>
      </c>
      <c r="B27" s="15" t="s">
        <v>1210</v>
      </c>
      <c r="C27" s="15" t="s">
        <v>260</v>
      </c>
      <c r="D27" s="15" t="s">
        <v>1314</v>
      </c>
      <c r="E27" s="15" t="s">
        <v>1315</v>
      </c>
      <c r="F27" s="15" t="s">
        <v>11</v>
      </c>
      <c r="G27" s="15" t="s">
        <v>7</v>
      </c>
      <c r="H27" s="15" t="s">
        <v>1316</v>
      </c>
      <c r="I27" s="15" t="s">
        <v>84</v>
      </c>
      <c r="J27" s="15" t="s">
        <v>1317</v>
      </c>
      <c r="K27" s="15" t="s">
        <v>1318</v>
      </c>
      <c r="L27" s="15" t="s">
        <v>1319</v>
      </c>
      <c r="M27" s="15"/>
    </row>
    <row r="28" customFormat="false" ht="67.5" hidden="false" customHeight="true" outlineLevel="0" collapsed="false">
      <c r="A28" s="15" t="s">
        <v>1320</v>
      </c>
      <c r="B28" s="15" t="s">
        <v>1210</v>
      </c>
      <c r="C28" s="15" t="s">
        <v>260</v>
      </c>
      <c r="D28" s="15" t="s">
        <v>1321</v>
      </c>
      <c r="E28" s="15" t="s">
        <v>1322</v>
      </c>
      <c r="F28" s="15" t="s">
        <v>11</v>
      </c>
      <c r="G28" s="15" t="s">
        <v>7</v>
      </c>
      <c r="H28" s="15" t="s">
        <v>1323</v>
      </c>
      <c r="I28" s="15" t="s">
        <v>84</v>
      </c>
      <c r="J28" s="15" t="s">
        <v>1324</v>
      </c>
      <c r="K28" s="15" t="s">
        <v>1325</v>
      </c>
      <c r="L28" s="15" t="s">
        <v>1326</v>
      </c>
      <c r="M28" s="15"/>
    </row>
    <row r="29" customFormat="false" ht="93.75" hidden="false" customHeight="true" outlineLevel="0" collapsed="false">
      <c r="A29" s="15" t="s">
        <v>1327</v>
      </c>
      <c r="B29" s="15" t="s">
        <v>1210</v>
      </c>
      <c r="C29" s="15" t="s">
        <v>260</v>
      </c>
      <c r="D29" s="15" t="s">
        <v>1328</v>
      </c>
      <c r="E29" s="15" t="s">
        <v>1329</v>
      </c>
      <c r="F29" s="15" t="s">
        <v>26</v>
      </c>
      <c r="G29" s="15" t="s">
        <v>7</v>
      </c>
      <c r="H29" s="15" t="s">
        <v>1330</v>
      </c>
      <c r="I29" s="15" t="s">
        <v>84</v>
      </c>
      <c r="J29" s="15" t="s">
        <v>1331</v>
      </c>
      <c r="K29" s="15" t="s">
        <v>1332</v>
      </c>
      <c r="L29" s="15" t="s">
        <v>1333</v>
      </c>
      <c r="M29" s="15"/>
    </row>
    <row r="30" customFormat="false" ht="67.5" hidden="false" customHeight="true" outlineLevel="0" collapsed="false">
      <c r="A30" s="15" t="s">
        <v>1334</v>
      </c>
      <c r="B30" s="15" t="s">
        <v>1335</v>
      </c>
      <c r="C30" s="15" t="s">
        <v>260</v>
      </c>
      <c r="D30" s="15" t="s">
        <v>1336</v>
      </c>
      <c r="E30" s="15" t="s">
        <v>1337</v>
      </c>
      <c r="F30" s="15" t="s">
        <v>11</v>
      </c>
      <c r="G30" s="15" t="s">
        <v>7</v>
      </c>
      <c r="H30" s="15" t="s">
        <v>1338</v>
      </c>
      <c r="I30" s="15" t="s">
        <v>84</v>
      </c>
      <c r="J30" s="15" t="s">
        <v>1339</v>
      </c>
      <c r="K30" s="15" t="s">
        <v>1340</v>
      </c>
      <c r="L30" s="15" t="s">
        <v>1341</v>
      </c>
      <c r="M30" s="15"/>
    </row>
    <row r="31" customFormat="false" ht="93.75" hidden="false" customHeight="true" outlineLevel="0" collapsed="false">
      <c r="A31" s="15" t="s">
        <v>1342</v>
      </c>
      <c r="B31" s="15" t="s">
        <v>1186</v>
      </c>
      <c r="C31" s="15" t="s">
        <v>260</v>
      </c>
      <c r="D31" s="15" t="s">
        <v>1343</v>
      </c>
      <c r="E31" s="15" t="s">
        <v>1344</v>
      </c>
      <c r="F31" s="15" t="s">
        <v>11</v>
      </c>
      <c r="G31" s="15" t="s">
        <v>7</v>
      </c>
      <c r="H31" s="15" t="s">
        <v>1345</v>
      </c>
      <c r="I31" s="15" t="s">
        <v>84</v>
      </c>
      <c r="J31" s="15" t="s">
        <v>1346</v>
      </c>
      <c r="K31" s="15" t="s">
        <v>1347</v>
      </c>
      <c r="L31" s="15" t="s">
        <v>1348</v>
      </c>
      <c r="M31" s="15" t="s">
        <v>1349</v>
      </c>
    </row>
    <row r="32" customFormat="false" ht="42" hidden="false" customHeight="true" outlineLevel="0" collapsed="false">
      <c r="A32" s="15" t="s">
        <v>1350</v>
      </c>
      <c r="B32" s="15" t="s">
        <v>1186</v>
      </c>
      <c r="C32" s="15" t="s">
        <v>260</v>
      </c>
      <c r="D32" s="15" t="s">
        <v>1351</v>
      </c>
      <c r="E32" s="15" t="s">
        <v>1352</v>
      </c>
      <c r="F32" s="15" t="s">
        <v>1189</v>
      </c>
      <c r="G32" s="15" t="s">
        <v>7</v>
      </c>
      <c r="H32" s="15" t="s">
        <v>1190</v>
      </c>
      <c r="I32" s="15" t="s">
        <v>1191</v>
      </c>
      <c r="J32" s="15" t="s">
        <v>1192</v>
      </c>
      <c r="K32" s="15" t="s">
        <v>1353</v>
      </c>
      <c r="L32" s="15" t="s">
        <v>1354</v>
      </c>
      <c r="M32" s="15" t="s">
        <v>1246</v>
      </c>
    </row>
    <row r="33" customFormat="false" ht="93.75" hidden="false" customHeight="true" outlineLevel="0" collapsed="false">
      <c r="A33" s="15" t="s">
        <v>1355</v>
      </c>
      <c r="B33" s="15" t="s">
        <v>1186</v>
      </c>
      <c r="C33" s="15" t="s">
        <v>260</v>
      </c>
      <c r="D33" s="15" t="s">
        <v>1356</v>
      </c>
      <c r="E33" s="15" t="s">
        <v>1357</v>
      </c>
      <c r="F33" s="15" t="s">
        <v>1189</v>
      </c>
      <c r="G33" s="15" t="s">
        <v>7</v>
      </c>
      <c r="H33" s="15" t="s">
        <v>1190</v>
      </c>
      <c r="I33" s="15" t="s">
        <v>1191</v>
      </c>
      <c r="J33" s="15" t="s">
        <v>1192</v>
      </c>
      <c r="K33" s="15" t="s">
        <v>1358</v>
      </c>
      <c r="L33" s="15" t="s">
        <v>1359</v>
      </c>
      <c r="M33" s="15"/>
    </row>
    <row r="34" customFormat="false" ht="67.5" hidden="false" customHeight="true" outlineLevel="0" collapsed="false">
      <c r="A34" s="15" t="s">
        <v>1360</v>
      </c>
      <c r="B34" s="15" t="s">
        <v>1186</v>
      </c>
      <c r="C34" s="15" t="s">
        <v>260</v>
      </c>
      <c r="D34" s="15" t="s">
        <v>1361</v>
      </c>
      <c r="E34" s="15" t="s">
        <v>1362</v>
      </c>
      <c r="F34" s="15" t="s">
        <v>1189</v>
      </c>
      <c r="G34" s="15" t="s">
        <v>7</v>
      </c>
      <c r="H34" s="15" t="s">
        <v>1190</v>
      </c>
      <c r="I34" s="15" t="s">
        <v>1191</v>
      </c>
      <c r="J34" s="15" t="s">
        <v>1192</v>
      </c>
      <c r="K34" s="15" t="s">
        <v>1363</v>
      </c>
      <c r="L34" s="15" t="s">
        <v>1364</v>
      </c>
      <c r="M34" s="15"/>
    </row>
    <row r="35" customFormat="false" ht="67.5" hidden="false" customHeight="true" outlineLevel="0" collapsed="false">
      <c r="A35" s="15" t="s">
        <v>1365</v>
      </c>
      <c r="B35" s="15" t="s">
        <v>1186</v>
      </c>
      <c r="C35" s="15" t="s">
        <v>260</v>
      </c>
      <c r="D35" s="15" t="s">
        <v>1366</v>
      </c>
      <c r="E35" s="15" t="s">
        <v>1367</v>
      </c>
      <c r="F35" s="15" t="s">
        <v>11</v>
      </c>
      <c r="G35" s="15" t="s">
        <v>7</v>
      </c>
      <c r="H35" s="15" t="s">
        <v>1368</v>
      </c>
      <c r="I35" s="15" t="s">
        <v>84</v>
      </c>
      <c r="J35" s="15" t="s">
        <v>1369</v>
      </c>
      <c r="K35" s="15" t="s">
        <v>1367</v>
      </c>
      <c r="L35" s="15" t="s">
        <v>1370</v>
      </c>
      <c r="M35" s="15"/>
    </row>
    <row r="36" customFormat="false" ht="106.5" hidden="false" customHeight="true" outlineLevel="0" collapsed="false">
      <c r="A36" s="15" t="s">
        <v>1371</v>
      </c>
      <c r="B36" s="15" t="s">
        <v>1186</v>
      </c>
      <c r="C36" s="15" t="s">
        <v>260</v>
      </c>
      <c r="D36" s="15" t="s">
        <v>1372</v>
      </c>
      <c r="E36" s="15" t="s">
        <v>1373</v>
      </c>
      <c r="F36" s="15" t="s">
        <v>11</v>
      </c>
      <c r="G36" s="15" t="s">
        <v>7</v>
      </c>
      <c r="H36" s="15" t="s">
        <v>1374</v>
      </c>
      <c r="I36" s="15" t="s">
        <v>84</v>
      </c>
      <c r="J36" s="15" t="s">
        <v>1375</v>
      </c>
      <c r="K36" s="15" t="s">
        <v>1376</v>
      </c>
      <c r="L36" s="15" t="s">
        <v>1377</v>
      </c>
      <c r="M36" s="15"/>
    </row>
    <row r="37" customFormat="false" ht="93.75" hidden="false" customHeight="true" outlineLevel="0" collapsed="false">
      <c r="A37" s="15" t="s">
        <v>1378</v>
      </c>
      <c r="B37" s="15" t="s">
        <v>1186</v>
      </c>
      <c r="C37" s="15" t="s">
        <v>260</v>
      </c>
      <c r="D37" s="15" t="s">
        <v>1379</v>
      </c>
      <c r="E37" s="15" t="s">
        <v>1380</v>
      </c>
      <c r="F37" s="15" t="s">
        <v>1189</v>
      </c>
      <c r="G37" s="15" t="s">
        <v>7</v>
      </c>
      <c r="H37" s="15" t="s">
        <v>1190</v>
      </c>
      <c r="I37" s="15" t="s">
        <v>1191</v>
      </c>
      <c r="J37" s="15" t="s">
        <v>1192</v>
      </c>
      <c r="K37" s="15" t="s">
        <v>1381</v>
      </c>
      <c r="L37" s="15" t="s">
        <v>1382</v>
      </c>
      <c r="M37" s="15" t="s">
        <v>1246</v>
      </c>
    </row>
    <row r="38" customFormat="false" ht="42" hidden="false" customHeight="true" outlineLevel="0" collapsed="false">
      <c r="A38" s="15" t="s">
        <v>1383</v>
      </c>
      <c r="B38" s="15" t="s">
        <v>1186</v>
      </c>
      <c r="C38" s="15" t="s">
        <v>260</v>
      </c>
      <c r="D38" s="15" t="s">
        <v>1384</v>
      </c>
      <c r="E38" s="15" t="s">
        <v>1385</v>
      </c>
      <c r="F38" s="15" t="s">
        <v>1189</v>
      </c>
      <c r="G38" s="15" t="s">
        <v>7</v>
      </c>
      <c r="H38" s="15" t="s">
        <v>1190</v>
      </c>
      <c r="I38" s="15" t="s">
        <v>1191</v>
      </c>
      <c r="J38" s="15" t="s">
        <v>1192</v>
      </c>
      <c r="K38" s="15" t="s">
        <v>1386</v>
      </c>
      <c r="L38" s="15" t="s">
        <v>1387</v>
      </c>
      <c r="M38" s="15" t="s">
        <v>1388</v>
      </c>
    </row>
    <row r="39" customFormat="false" ht="106.5" hidden="false" customHeight="true" outlineLevel="0" collapsed="false">
      <c r="A39" s="15" t="s">
        <v>1154</v>
      </c>
      <c r="B39" s="15" t="s">
        <v>1180</v>
      </c>
      <c r="C39" s="15" t="s">
        <v>260</v>
      </c>
      <c r="D39" s="15" t="s">
        <v>1155</v>
      </c>
      <c r="E39" s="15" t="s">
        <v>1156</v>
      </c>
      <c r="F39" s="15" t="s">
        <v>11</v>
      </c>
      <c r="G39" s="15" t="s">
        <v>7</v>
      </c>
      <c r="H39" s="15" t="s">
        <v>1389</v>
      </c>
      <c r="I39" s="15" t="s">
        <v>84</v>
      </c>
      <c r="J39" s="15" t="s">
        <v>1390</v>
      </c>
      <c r="K39" s="15" t="s">
        <v>1159</v>
      </c>
      <c r="L39" s="15" t="s">
        <v>1391</v>
      </c>
      <c r="M39" s="15" t="s">
        <v>1256</v>
      </c>
    </row>
    <row r="40" customFormat="false" ht="198" hidden="false" customHeight="true" outlineLevel="0" collapsed="false">
      <c r="A40" s="15" t="s">
        <v>1160</v>
      </c>
      <c r="B40" s="15" t="s">
        <v>1180</v>
      </c>
      <c r="C40" s="15" t="s">
        <v>260</v>
      </c>
      <c r="D40" s="15" t="s">
        <v>1161</v>
      </c>
      <c r="E40" s="15" t="s">
        <v>1162</v>
      </c>
      <c r="F40" s="15" t="s">
        <v>11</v>
      </c>
      <c r="G40" s="15" t="s">
        <v>7</v>
      </c>
      <c r="H40" s="15" t="s">
        <v>1392</v>
      </c>
      <c r="I40" s="15" t="s">
        <v>991</v>
      </c>
      <c r="J40" s="15" t="s">
        <v>1164</v>
      </c>
      <c r="K40" s="15" t="s">
        <v>1165</v>
      </c>
      <c r="L40" s="15" t="s">
        <v>1393</v>
      </c>
      <c r="M40" s="15"/>
    </row>
    <row r="41" customFormat="false" ht="120" hidden="false" customHeight="true" outlineLevel="0" collapsed="false">
      <c r="A41" s="15" t="s">
        <v>1184</v>
      </c>
      <c r="B41" s="15" t="s">
        <v>1210</v>
      </c>
      <c r="C41" s="15" t="s">
        <v>1002</v>
      </c>
      <c r="D41" s="15" t="s">
        <v>1394</v>
      </c>
      <c r="E41" s="15" t="s">
        <v>1395</v>
      </c>
      <c r="F41" s="15" t="s">
        <v>26</v>
      </c>
      <c r="G41" s="15" t="s">
        <v>7</v>
      </c>
      <c r="H41" s="15" t="s">
        <v>1396</v>
      </c>
      <c r="I41" s="15" t="s">
        <v>84</v>
      </c>
      <c r="J41" s="15" t="s">
        <v>1397</v>
      </c>
      <c r="K41" s="15" t="s">
        <v>1398</v>
      </c>
      <c r="L41" s="15" t="s">
        <v>1399</v>
      </c>
      <c r="M41" s="15" t="s">
        <v>1001</v>
      </c>
    </row>
  </sheetData>
  <autoFilter ref="A4:M41"/>
  <conditionalFormatting sqref="C5:C41">
    <cfRule type="expression" priority="2" aboveAverage="0" equalAverage="0" bottom="0" percent="0" rank="0" text="" dxfId="13">
      <formula>ISNUMBER(SEARCH("Critical",C5))</formula>
    </cfRule>
    <cfRule type="expression" priority="3" aboveAverage="0" equalAverage="0" bottom="0" percent="0" rank="0" text="" dxfId="14">
      <formula>ISNUMBER(SEARCH("High",C5))</formula>
    </cfRule>
    <cfRule type="expression" priority="4" aboveAverage="0" equalAverage="0" bottom="0" percent="0" rank="0" text="" dxfId="15">
      <formula>ISNUMBER(SEARCH("Medium",C5))</formula>
    </cfRule>
    <cfRule type="expression" priority="5" aboveAverage="0" equalAverage="0" bottom="0" percent="0" rank="0" text="" dxfId="16">
      <formula>ISNUMBER(SEARCH("Low",C5))</formula>
    </cfRule>
    <cfRule type="expression" priority="6" aboveAverage="0" equalAverage="0" bottom="0" percent="0" rank="0" text="" dxfId="17">
      <formula>ISNUMBER(SEARCH("Info",C5))</formula>
    </cfRule>
  </conditionalFormatting>
  <conditionalFormatting sqref="F5:F41">
    <cfRule type="expression" priority="7" aboveAverage="0" equalAverage="0" bottom="0" percent="0" rank="0" text="" dxfId="15">
      <formula>ISNUMBER(SEARCH("Partly",F5))</formula>
    </cfRule>
    <cfRule type="expression" priority="8" aboveAverage="0" equalAverage="0" bottom="0" percent="0" rank="0" text="" dxfId="6">
      <formula>ISNUMBER(SEARCH("Fixed",F5))</formula>
    </cfRule>
    <cfRule type="expression" priority="9" aboveAverage="0" equalAverage="0" bottom="0" percent="0" rank="0" text="" dxfId="18">
      <formula>ISNUMBER(SEARCH("Was wrong",F5))</formula>
    </cfRule>
    <cfRule type="expression" priority="10" aboveAverage="0" equalAverage="0" bottom="0" percent="0" rank="0" text="" dxfId="18">
      <formula>ISNUMBER(SEARCH("Not wanted",F5))</formula>
    </cfRule>
    <cfRule type="expression" priority="11" aboveAverage="0" equalAverage="0" bottom="0" percent="0" rank="0" text="" dxfId="19">
      <formula>ISNUMBER(SEARCH("Andy to decide",F5))</formula>
    </cfRule>
    <cfRule type="expression" priority="12" aboveAverage="0" equalAverage="0" bottom="0" percent="0" rank="0" text="" dxfId="19">
      <formula>ISNUMBER(SEARCH("Your task",F5))</formula>
    </cfRule>
    <cfRule type="expression" priority="13" aboveAverage="0" equalAverage="0" bottom="0" percent="0" rank="0" text="" dxfId="18">
      <formula>ISNUMBER(SEARCH("Later",F5))</formula>
    </cfRule>
    <cfRule type="expression" priority="14" aboveAverage="0" equalAverage="0" bottom="0" percent="0" rank="0" text="" dxfId="20">
      <formula>ISNUMBER(SEARCH("Needs check",F5))</formula>
    </cfRule>
    <cfRule type="expression" priority="15" aboveAverage="0" equalAverage="0" bottom="0" percent="0" rank="0" text="" dxfId="17">
      <formula>ISNUMBER(SEARCH("Info",F5))</formula>
    </cfRule>
    <cfRule type="expression" priority="16" aboveAverage="0" equalAverage="0" bottom="0" percent="0" rank="0" text="" dxfId="21">
      <formula>ISNUMBER(SEARCH("Open",F5))</formula>
    </cfRule>
  </conditionalFormatting>
  <conditionalFormatting sqref="G5:G41">
    <cfRule type="expression" priority="17" aboveAverage="0" equalAverage="0" bottom="0" percent="0" rank="0" text="" dxfId="15">
      <formula>ISNUMBER(SEARCH("Partly",G5))</formula>
    </cfRule>
    <cfRule type="expression" priority="18" aboveAverage="0" equalAverage="0" bottom="0" percent="0" rank="0" text="" dxfId="6">
      <formula>ISNUMBER(SEARCH("Fixed",G5))</formula>
    </cfRule>
    <cfRule type="expression" priority="19" aboveAverage="0" equalAverage="0" bottom="0" percent="0" rank="0" text="" dxfId="18">
      <formula>ISNUMBER(SEARCH("Was wrong",G5))</formula>
    </cfRule>
    <cfRule type="expression" priority="20" aboveAverage="0" equalAverage="0" bottom="0" percent="0" rank="0" text="" dxfId="18">
      <formula>ISNUMBER(SEARCH("Not wanted",G5))</formula>
    </cfRule>
    <cfRule type="expression" priority="21" aboveAverage="0" equalAverage="0" bottom="0" percent="0" rank="0" text="" dxfId="19">
      <formula>ISNUMBER(SEARCH("Andy to decide",G5))</formula>
    </cfRule>
    <cfRule type="expression" priority="22" aboveAverage="0" equalAverage="0" bottom="0" percent="0" rank="0" text="" dxfId="19">
      <formula>ISNUMBER(SEARCH("Your task",G5))</formula>
    </cfRule>
    <cfRule type="expression" priority="23" aboveAverage="0" equalAverage="0" bottom="0" percent="0" rank="0" text="" dxfId="18">
      <formula>ISNUMBER(SEARCH("Later",G5))</formula>
    </cfRule>
    <cfRule type="expression" priority="24" aboveAverage="0" equalAverage="0" bottom="0" percent="0" rank="0" text="" dxfId="20">
      <formula>ISNUMBER(SEARCH("Needs check",G5))</formula>
    </cfRule>
    <cfRule type="expression" priority="25" aboveAverage="0" equalAverage="0" bottom="0" percent="0" rank="0" text="" dxfId="17">
      <formula>ISNUMBER(SEARCH("Info",G5))</formula>
    </cfRule>
    <cfRule type="expression" priority="26" aboveAverage="0" equalAverage="0" bottom="0" percent="0" rank="0" text="" dxfId="21">
      <formula>ISNUMBER(SEARCH("Open",G5))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3262B"/>
    <pageSetUpPr fitToPage="false"/>
  </sheetPr>
  <dimension ref="A1:F36"/>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46"/>
    <col collapsed="false" customWidth="true" hidden="false" outlineLevel="0" max="3" min="3" style="0" width="70"/>
    <col collapsed="false" customWidth="true" hidden="false" outlineLevel="0" max="5" min="4" style="0" width="30"/>
    <col collapsed="false" customWidth="true" hidden="false" outlineLevel="0" max="6" min="6" style="0" width="13"/>
  </cols>
  <sheetData>
    <row r="1" customFormat="false" ht="19.7" hidden="false" customHeight="false" outlineLevel="0" collapsed="false">
      <c r="A1" s="1" t="s">
        <v>1400</v>
      </c>
    </row>
    <row r="2" customFormat="false" ht="15" hidden="false" customHeight="false" outlineLevel="0" collapsed="false">
      <c r="A2" s="11" t="s">
        <v>1401</v>
      </c>
    </row>
    <row r="4" customFormat="false" ht="27.75" hidden="false" customHeight="true" outlineLevel="0" collapsed="false">
      <c r="A4" s="14" t="s">
        <v>1402</v>
      </c>
      <c r="B4" s="14" t="s">
        <v>1403</v>
      </c>
      <c r="C4" s="14" t="s">
        <v>1404</v>
      </c>
      <c r="D4" s="14" t="s">
        <v>1405</v>
      </c>
      <c r="E4" s="14" t="s">
        <v>1406</v>
      </c>
      <c r="F4" s="14" t="s">
        <v>1407</v>
      </c>
    </row>
    <row r="5" customFormat="false" ht="28.5" hidden="false" customHeight="true" outlineLevel="0" collapsed="false">
      <c r="A5" s="15" t="s">
        <v>1408</v>
      </c>
      <c r="B5" s="15" t="s">
        <v>1409</v>
      </c>
      <c r="C5" s="15" t="s">
        <v>1410</v>
      </c>
      <c r="D5" s="15" t="s">
        <v>1411</v>
      </c>
      <c r="E5" s="15" t="s">
        <v>995</v>
      </c>
      <c r="F5" s="15" t="s">
        <v>1412</v>
      </c>
    </row>
    <row r="6" customFormat="false" ht="42" hidden="false" customHeight="true" outlineLevel="0" collapsed="false">
      <c r="A6" s="15" t="s">
        <v>1408</v>
      </c>
      <c r="B6" s="15" t="s">
        <v>1413</v>
      </c>
      <c r="C6" s="15" t="s">
        <v>1414</v>
      </c>
      <c r="D6" s="15" t="s">
        <v>1411</v>
      </c>
      <c r="E6" s="15" t="s">
        <v>1415</v>
      </c>
      <c r="F6" s="15" t="s">
        <v>1412</v>
      </c>
    </row>
    <row r="7" customFormat="false" ht="28.5" hidden="false" customHeight="true" outlineLevel="0" collapsed="false">
      <c r="A7" s="15" t="s">
        <v>1408</v>
      </c>
      <c r="B7" s="15" t="s">
        <v>1416</v>
      </c>
      <c r="C7" s="15" t="s">
        <v>1417</v>
      </c>
      <c r="D7" s="15" t="s">
        <v>1411</v>
      </c>
      <c r="E7" s="15" t="s">
        <v>61</v>
      </c>
      <c r="F7" s="15" t="s">
        <v>1412</v>
      </c>
    </row>
    <row r="8" customFormat="false" ht="28.5" hidden="false" customHeight="true" outlineLevel="0" collapsed="false">
      <c r="A8" s="15" t="s">
        <v>1418</v>
      </c>
      <c r="B8" s="15" t="s">
        <v>1419</v>
      </c>
      <c r="C8" s="15" t="s">
        <v>1420</v>
      </c>
      <c r="D8" s="15" t="s">
        <v>1421</v>
      </c>
      <c r="E8" s="15" t="s">
        <v>987</v>
      </c>
      <c r="F8" s="15" t="s">
        <v>9</v>
      </c>
    </row>
    <row r="9" customFormat="false" ht="28.5" hidden="false" customHeight="true" outlineLevel="0" collapsed="false">
      <c r="A9" s="15" t="s">
        <v>1418</v>
      </c>
      <c r="B9" s="15" t="s">
        <v>1422</v>
      </c>
      <c r="C9" s="15" t="s">
        <v>1423</v>
      </c>
      <c r="D9" s="15" t="s">
        <v>1424</v>
      </c>
      <c r="E9" s="15" t="s">
        <v>1001</v>
      </c>
      <c r="F9" s="15" t="s">
        <v>9</v>
      </c>
    </row>
    <row r="10" customFormat="false" ht="28.5" hidden="false" customHeight="true" outlineLevel="0" collapsed="false">
      <c r="A10" s="15" t="s">
        <v>1418</v>
      </c>
      <c r="B10" s="15" t="s">
        <v>1425</v>
      </c>
      <c r="C10" s="15" t="s">
        <v>1426</v>
      </c>
      <c r="D10" s="15" t="s">
        <v>1421</v>
      </c>
      <c r="E10" s="15" t="s">
        <v>1427</v>
      </c>
      <c r="F10" s="15" t="s">
        <v>26</v>
      </c>
    </row>
    <row r="11" customFormat="false" ht="28.5" hidden="false" customHeight="true" outlineLevel="0" collapsed="false">
      <c r="A11" s="15" t="s">
        <v>1418</v>
      </c>
      <c r="B11" s="15" t="s">
        <v>1428</v>
      </c>
      <c r="C11" s="15" t="s">
        <v>1429</v>
      </c>
      <c r="D11" s="15" t="s">
        <v>1430</v>
      </c>
      <c r="E11" s="15" t="s">
        <v>1431</v>
      </c>
      <c r="F11" s="15" t="s">
        <v>11</v>
      </c>
    </row>
    <row r="12" customFormat="false" ht="28.5" hidden="false" customHeight="true" outlineLevel="0" collapsed="false">
      <c r="A12" s="15" t="s">
        <v>1418</v>
      </c>
      <c r="B12" s="15" t="s">
        <v>1432</v>
      </c>
      <c r="C12" s="15" t="s">
        <v>1433</v>
      </c>
      <c r="D12" s="15" t="s">
        <v>1421</v>
      </c>
      <c r="E12" s="15" t="s">
        <v>235</v>
      </c>
      <c r="F12" s="15" t="s">
        <v>11</v>
      </c>
    </row>
    <row r="13" customFormat="false" ht="28.5" hidden="false" customHeight="true" outlineLevel="0" collapsed="false">
      <c r="A13" s="15" t="s">
        <v>1418</v>
      </c>
      <c r="B13" s="15" t="s">
        <v>1434</v>
      </c>
      <c r="C13" s="15" t="s">
        <v>1435</v>
      </c>
      <c r="D13" s="15" t="s">
        <v>1421</v>
      </c>
      <c r="E13" s="15" t="s">
        <v>244</v>
      </c>
      <c r="F13" s="15" t="s">
        <v>9</v>
      </c>
    </row>
    <row r="14" customFormat="false" ht="28.5" hidden="false" customHeight="true" outlineLevel="0" collapsed="false">
      <c r="A14" s="15" t="s">
        <v>1418</v>
      </c>
      <c r="B14" s="15" t="s">
        <v>1436</v>
      </c>
      <c r="C14" s="15" t="s">
        <v>1437</v>
      </c>
      <c r="D14" s="15" t="s">
        <v>1430</v>
      </c>
      <c r="E14" s="15" t="s">
        <v>251</v>
      </c>
      <c r="F14" s="15" t="s">
        <v>9</v>
      </c>
    </row>
    <row r="15" customFormat="false" ht="28.5" hidden="false" customHeight="true" outlineLevel="0" collapsed="false">
      <c r="A15" s="15" t="s">
        <v>1418</v>
      </c>
      <c r="B15" s="15" t="s">
        <v>1438</v>
      </c>
      <c r="C15" s="15" t="s">
        <v>1439</v>
      </c>
      <c r="D15" s="15" t="s">
        <v>1430</v>
      </c>
      <c r="E15" s="15" t="s">
        <v>1440</v>
      </c>
      <c r="F15" s="15" t="s">
        <v>11</v>
      </c>
    </row>
    <row r="16" customFormat="false" ht="28.5" hidden="false" customHeight="true" outlineLevel="0" collapsed="false">
      <c r="A16" s="15" t="s">
        <v>1441</v>
      </c>
      <c r="B16" s="15" t="s">
        <v>1442</v>
      </c>
      <c r="C16" s="15" t="s">
        <v>1443</v>
      </c>
      <c r="D16" s="15" t="s">
        <v>1421</v>
      </c>
      <c r="E16" s="15" t="s">
        <v>1444</v>
      </c>
      <c r="F16" s="15" t="s">
        <v>26</v>
      </c>
    </row>
    <row r="17" customFormat="false" ht="15.75" hidden="false" customHeight="true" outlineLevel="0" collapsed="false">
      <c r="A17" s="15" t="s">
        <v>1441</v>
      </c>
      <c r="B17" s="15" t="s">
        <v>1445</v>
      </c>
      <c r="C17" s="15" t="s">
        <v>1446</v>
      </c>
      <c r="D17" s="15" t="s">
        <v>1430</v>
      </c>
      <c r="E17" s="15" t="s">
        <v>613</v>
      </c>
      <c r="F17" s="15" t="s">
        <v>11</v>
      </c>
    </row>
    <row r="18" customFormat="false" ht="28.5" hidden="false" customHeight="true" outlineLevel="0" collapsed="false">
      <c r="A18" s="15" t="s">
        <v>1441</v>
      </c>
      <c r="B18" s="15" t="s">
        <v>1447</v>
      </c>
      <c r="C18" s="15" t="s">
        <v>1448</v>
      </c>
      <c r="D18" s="15" t="s">
        <v>1421</v>
      </c>
      <c r="E18" s="15" t="s">
        <v>613</v>
      </c>
      <c r="F18" s="15" t="s">
        <v>26</v>
      </c>
    </row>
    <row r="19" customFormat="false" ht="15.75" hidden="false" customHeight="true" outlineLevel="0" collapsed="false">
      <c r="A19" s="15" t="s">
        <v>1441</v>
      </c>
      <c r="B19" s="15" t="s">
        <v>1449</v>
      </c>
      <c r="C19" s="15" t="s">
        <v>1450</v>
      </c>
      <c r="D19" s="15" t="s">
        <v>1430</v>
      </c>
      <c r="E19" s="15" t="s">
        <v>266</v>
      </c>
      <c r="F19" s="15" t="s">
        <v>9</v>
      </c>
    </row>
    <row r="20" customFormat="false" ht="15.75" hidden="false" customHeight="true" outlineLevel="0" collapsed="false">
      <c r="A20" s="15" t="s">
        <v>1441</v>
      </c>
      <c r="B20" s="15" t="s">
        <v>1451</v>
      </c>
      <c r="C20" s="15" t="s">
        <v>1452</v>
      </c>
      <c r="D20" s="15" t="s">
        <v>1430</v>
      </c>
      <c r="E20" s="15" t="s">
        <v>1453</v>
      </c>
      <c r="F20" s="15" t="s">
        <v>9</v>
      </c>
    </row>
    <row r="21" customFormat="false" ht="28.5" hidden="false" customHeight="true" outlineLevel="0" collapsed="false">
      <c r="A21" s="15" t="s">
        <v>1441</v>
      </c>
      <c r="B21" s="15" t="s">
        <v>1454</v>
      </c>
      <c r="C21" s="15" t="s">
        <v>1455</v>
      </c>
      <c r="D21" s="15" t="s">
        <v>1421</v>
      </c>
      <c r="E21" s="15" t="s">
        <v>1172</v>
      </c>
      <c r="F21" s="15" t="s">
        <v>11</v>
      </c>
    </row>
    <row r="22" customFormat="false" ht="28.5" hidden="false" customHeight="true" outlineLevel="0" collapsed="false">
      <c r="A22" s="15" t="s">
        <v>1441</v>
      </c>
      <c r="B22" s="15" t="s">
        <v>1456</v>
      </c>
      <c r="C22" s="15" t="s">
        <v>1457</v>
      </c>
      <c r="D22" s="15" t="s">
        <v>1430</v>
      </c>
      <c r="E22" s="15" t="s">
        <v>1458</v>
      </c>
      <c r="F22" s="15" t="s">
        <v>11</v>
      </c>
    </row>
    <row r="23" customFormat="false" ht="28.5" hidden="false" customHeight="true" outlineLevel="0" collapsed="false">
      <c r="A23" s="15" t="s">
        <v>1441</v>
      </c>
      <c r="B23" s="15" t="s">
        <v>1459</v>
      </c>
      <c r="C23" s="15" t="s">
        <v>1460</v>
      </c>
      <c r="D23" s="15" t="s">
        <v>1421</v>
      </c>
      <c r="E23" s="15" t="s">
        <v>1043</v>
      </c>
      <c r="F23" s="15" t="s">
        <v>11</v>
      </c>
    </row>
    <row r="24" customFormat="false" ht="28.5" hidden="false" customHeight="true" outlineLevel="0" collapsed="false">
      <c r="A24" s="15" t="s">
        <v>1441</v>
      </c>
      <c r="B24" s="15" t="s">
        <v>1461</v>
      </c>
      <c r="C24" s="15" t="s">
        <v>1462</v>
      </c>
      <c r="D24" s="15" t="s">
        <v>1424</v>
      </c>
      <c r="E24" s="15" t="s">
        <v>1463</v>
      </c>
      <c r="F24" s="15" t="s">
        <v>26</v>
      </c>
    </row>
    <row r="25" customFormat="false" ht="28.5" hidden="false" customHeight="true" outlineLevel="0" collapsed="false">
      <c r="A25" s="15" t="s">
        <v>1441</v>
      </c>
      <c r="B25" s="15" t="s">
        <v>1464</v>
      </c>
      <c r="C25" s="15" t="s">
        <v>1465</v>
      </c>
      <c r="D25" s="15" t="s">
        <v>1430</v>
      </c>
      <c r="E25" s="15" t="s">
        <v>1463</v>
      </c>
      <c r="F25" s="15" t="s">
        <v>11</v>
      </c>
    </row>
    <row r="26" customFormat="false" ht="15.75" hidden="false" customHeight="true" outlineLevel="0" collapsed="false">
      <c r="A26" s="15" t="s">
        <v>1441</v>
      </c>
      <c r="B26" s="15" t="s">
        <v>1466</v>
      </c>
      <c r="C26" s="15" t="s">
        <v>1467</v>
      </c>
      <c r="D26" s="15" t="s">
        <v>1424</v>
      </c>
      <c r="E26" s="15" t="s">
        <v>1463</v>
      </c>
      <c r="F26" s="15" t="s">
        <v>11</v>
      </c>
    </row>
    <row r="27" customFormat="false" ht="28.5" hidden="false" customHeight="true" outlineLevel="0" collapsed="false">
      <c r="A27" s="15" t="s">
        <v>1441</v>
      </c>
      <c r="B27" s="15" t="s">
        <v>1468</v>
      </c>
      <c r="C27" s="15" t="s">
        <v>1469</v>
      </c>
      <c r="D27" s="15" t="s">
        <v>1421</v>
      </c>
      <c r="E27" s="15" t="s">
        <v>499</v>
      </c>
      <c r="F27" s="15" t="s">
        <v>11</v>
      </c>
    </row>
    <row r="28" customFormat="false" ht="28.5" hidden="false" customHeight="true" outlineLevel="0" collapsed="false">
      <c r="A28" s="15" t="s">
        <v>1441</v>
      </c>
      <c r="B28" s="15" t="s">
        <v>1470</v>
      </c>
      <c r="C28" s="15" t="s">
        <v>1471</v>
      </c>
      <c r="D28" s="15" t="s">
        <v>1421</v>
      </c>
      <c r="E28" s="15" t="s">
        <v>793</v>
      </c>
      <c r="F28" s="15" t="s">
        <v>11</v>
      </c>
    </row>
    <row r="29" customFormat="false" ht="28.5" hidden="false" customHeight="true" outlineLevel="0" collapsed="false">
      <c r="A29" s="15" t="s">
        <v>1441</v>
      </c>
      <c r="B29" s="15" t="s">
        <v>1472</v>
      </c>
      <c r="C29" s="15" t="s">
        <v>1473</v>
      </c>
      <c r="D29" s="15" t="s">
        <v>1421</v>
      </c>
      <c r="E29" s="15" t="s">
        <v>1209</v>
      </c>
      <c r="F29" s="15" t="s">
        <v>11</v>
      </c>
    </row>
    <row r="30" customFormat="false" ht="28.5" hidden="false" customHeight="true" outlineLevel="0" collapsed="false">
      <c r="A30" s="15" t="s">
        <v>1441</v>
      </c>
      <c r="B30" s="15" t="s">
        <v>1474</v>
      </c>
      <c r="C30" s="15" t="s">
        <v>1475</v>
      </c>
      <c r="D30" s="15" t="s">
        <v>1421</v>
      </c>
      <c r="E30" s="15" t="s">
        <v>631</v>
      </c>
      <c r="F30" s="15" t="s">
        <v>11</v>
      </c>
    </row>
    <row r="31" customFormat="false" ht="28.5" hidden="false" customHeight="true" outlineLevel="0" collapsed="false">
      <c r="A31" s="15" t="s">
        <v>1441</v>
      </c>
      <c r="B31" s="15" t="s">
        <v>1476</v>
      </c>
      <c r="C31" s="15" t="s">
        <v>1477</v>
      </c>
      <c r="D31" s="15" t="s">
        <v>1421</v>
      </c>
      <c r="E31" s="15" t="s">
        <v>650</v>
      </c>
      <c r="F31" s="15" t="s">
        <v>26</v>
      </c>
    </row>
    <row r="32" customFormat="false" ht="15.75" hidden="false" customHeight="true" outlineLevel="0" collapsed="false">
      <c r="A32" s="15" t="s">
        <v>1441</v>
      </c>
      <c r="B32" s="15" t="s">
        <v>1478</v>
      </c>
      <c r="C32" s="15" t="s">
        <v>1479</v>
      </c>
      <c r="D32" s="15" t="s">
        <v>1424</v>
      </c>
      <c r="E32" s="15" t="s">
        <v>1010</v>
      </c>
      <c r="F32" s="15" t="s">
        <v>26</v>
      </c>
    </row>
    <row r="33" customFormat="false" ht="28.5" hidden="false" customHeight="true" outlineLevel="0" collapsed="false">
      <c r="A33" s="15" t="s">
        <v>1441</v>
      </c>
      <c r="B33" s="15" t="s">
        <v>1480</v>
      </c>
      <c r="C33" s="15" t="s">
        <v>1481</v>
      </c>
      <c r="D33" s="15" t="s">
        <v>1424</v>
      </c>
      <c r="E33" s="15" t="s">
        <v>1129</v>
      </c>
      <c r="F33" s="15" t="s">
        <v>11</v>
      </c>
    </row>
    <row r="34" customFormat="false" ht="15.75" hidden="false" customHeight="true" outlineLevel="0" collapsed="false">
      <c r="A34" s="15" t="s">
        <v>1441</v>
      </c>
      <c r="B34" s="15" t="s">
        <v>1482</v>
      </c>
      <c r="C34" s="15" t="s">
        <v>1483</v>
      </c>
      <c r="D34" s="15" t="s">
        <v>1430</v>
      </c>
      <c r="E34" s="15" t="s">
        <v>1484</v>
      </c>
      <c r="F34" s="15" t="s">
        <v>11</v>
      </c>
    </row>
    <row r="35" customFormat="false" ht="28.5" hidden="false" customHeight="true" outlineLevel="0" collapsed="false">
      <c r="A35" s="15" t="s">
        <v>1485</v>
      </c>
      <c r="B35" s="15" t="s">
        <v>1486</v>
      </c>
      <c r="C35" s="15" t="s">
        <v>1487</v>
      </c>
      <c r="D35" s="15" t="s">
        <v>1411</v>
      </c>
      <c r="E35" s="15" t="s">
        <v>1488</v>
      </c>
      <c r="F35" s="15" t="s">
        <v>1489</v>
      </c>
    </row>
    <row r="36" customFormat="false" ht="28.5" hidden="false" customHeight="true" outlineLevel="0" collapsed="false">
      <c r="A36" s="15" t="s">
        <v>1485</v>
      </c>
      <c r="B36" s="15" t="s">
        <v>1490</v>
      </c>
      <c r="C36" s="15" t="s">
        <v>1491</v>
      </c>
      <c r="D36" s="15" t="s">
        <v>1411</v>
      </c>
      <c r="E36" s="15" t="s">
        <v>1492</v>
      </c>
      <c r="F36" s="15" t="s">
        <v>1489</v>
      </c>
    </row>
  </sheetData>
  <autoFilter ref="A4:F36"/>
  <conditionalFormatting sqref="F5:F36">
    <cfRule type="expression" priority="2" aboveAverage="0" equalAverage="0" bottom="0" percent="0" rank="0" text="" dxfId="15">
      <formula>ISNUMBER(SEARCH("Partly",F5))</formula>
    </cfRule>
    <cfRule type="expression" priority="3" aboveAverage="0" equalAverage="0" bottom="0" percent="0" rank="0" text="" dxfId="6">
      <formula>ISNUMBER(SEARCH("Fixed",F5))</formula>
    </cfRule>
    <cfRule type="expression" priority="4" aboveAverage="0" equalAverage="0" bottom="0" percent="0" rank="0" text="" dxfId="18">
      <formula>ISNUMBER(SEARCH("Was wrong",F5))</formula>
    </cfRule>
    <cfRule type="expression" priority="5" aboveAverage="0" equalAverage="0" bottom="0" percent="0" rank="0" text="" dxfId="18">
      <formula>ISNUMBER(SEARCH("Not wanted",F5))</formula>
    </cfRule>
    <cfRule type="expression" priority="6" aboveAverage="0" equalAverage="0" bottom="0" percent="0" rank="0" text="" dxfId="19">
      <formula>ISNUMBER(SEARCH("Andy to decide",F5))</formula>
    </cfRule>
    <cfRule type="expression" priority="7" aboveAverage="0" equalAverage="0" bottom="0" percent="0" rank="0" text="" dxfId="19">
      <formula>ISNUMBER(SEARCH("Your task",F5))</formula>
    </cfRule>
    <cfRule type="expression" priority="8" aboveAverage="0" equalAverage="0" bottom="0" percent="0" rank="0" text="" dxfId="18">
      <formula>ISNUMBER(SEARCH("Later",F5))</formula>
    </cfRule>
    <cfRule type="expression" priority="9" aboveAverage="0" equalAverage="0" bottom="0" percent="0" rank="0" text="" dxfId="20">
      <formula>ISNUMBER(SEARCH("Needs check",F5))</formula>
    </cfRule>
    <cfRule type="expression" priority="10" aboveAverage="0" equalAverage="0" bottom="0" percent="0" rank="0" text="" dxfId="17">
      <formula>ISNUMBER(SEARCH("Info",F5))</formula>
    </cfRule>
    <cfRule type="expression" priority="11" aboveAverage="0" equalAverage="0" bottom="0" percent="0" rank="0" text="" dxfId="21">
      <formula>ISNUMBER(SEARCH("Open",F5))</formula>
    </cfRule>
  </conditionalFormatting>
  <conditionalFormatting sqref="D5:D36">
    <cfRule type="expression" priority="12" aboveAverage="0" equalAverage="0" bottom="0" percent="0" rank="0" text="" dxfId="19">
      <formula>ISNUMBER(SEARCH("Andy",D5))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59E0B"/>
    <pageSetUpPr fitToPage="false"/>
  </sheetPr>
  <dimension ref="A1:L92"/>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8"/>
    <col collapsed="false" customWidth="true" hidden="false" outlineLevel="0" max="4" min="3" style="0" width="26"/>
    <col collapsed="false" customWidth="true" hidden="false" outlineLevel="0" max="5" min="5" style="0" width="30"/>
    <col collapsed="false" customWidth="true" hidden="false" outlineLevel="0" max="6" min="6" style="0" width="36"/>
    <col collapsed="false" customWidth="true" hidden="false" outlineLevel="0" max="7" min="7" style="0" width="16"/>
    <col collapsed="false" customWidth="true" hidden="false" outlineLevel="0" max="8" min="8" style="0" width="32"/>
    <col collapsed="false" customWidth="true" hidden="false" outlineLevel="0" max="10" min="9" style="0" width="12"/>
    <col collapsed="false" customWidth="true" hidden="false" outlineLevel="0" max="11" min="11" style="0" width="60"/>
    <col collapsed="false" customWidth="true" hidden="false" outlineLevel="0" max="12" min="12" style="0" width="40"/>
  </cols>
  <sheetData>
    <row r="1" customFormat="false" ht="19.7" hidden="false" customHeight="false" outlineLevel="0" collapsed="false">
      <c r="A1" s="1" t="s">
        <v>1493</v>
      </c>
    </row>
    <row r="2" customFormat="false" ht="15" hidden="false" customHeight="false" outlineLevel="0" collapsed="false">
      <c r="A2" s="11" t="s">
        <v>1494</v>
      </c>
    </row>
    <row r="4" customFormat="false" ht="27.75" hidden="false" customHeight="true" outlineLevel="0" collapsed="false">
      <c r="A4" s="14" t="s">
        <v>225</v>
      </c>
      <c r="B4" s="14" t="s">
        <v>1495</v>
      </c>
      <c r="C4" s="14" t="s">
        <v>1496</v>
      </c>
      <c r="D4" s="14" t="s">
        <v>1497</v>
      </c>
      <c r="E4" s="14" t="s">
        <v>1498</v>
      </c>
      <c r="F4" s="14" t="s">
        <v>1499</v>
      </c>
      <c r="G4" s="14" t="s">
        <v>1500</v>
      </c>
      <c r="H4" s="14" t="s">
        <v>1501</v>
      </c>
      <c r="I4" s="14" t="s">
        <v>229</v>
      </c>
      <c r="J4" s="14" t="s">
        <v>230</v>
      </c>
      <c r="K4" s="14" t="s">
        <v>1502</v>
      </c>
      <c r="L4" s="14" t="s">
        <v>1503</v>
      </c>
    </row>
    <row r="5" customFormat="false" ht="54.75" hidden="false" customHeight="true" outlineLevel="0" collapsed="false">
      <c r="A5" s="15" t="s">
        <v>1504</v>
      </c>
      <c r="B5" s="15" t="s">
        <v>1505</v>
      </c>
      <c r="C5" s="15" t="s">
        <v>1506</v>
      </c>
      <c r="D5" s="15" t="s">
        <v>1507</v>
      </c>
      <c r="E5" s="15" t="s">
        <v>1508</v>
      </c>
      <c r="F5" s="15" t="s">
        <v>1509</v>
      </c>
      <c r="G5" s="15" t="s">
        <v>1510</v>
      </c>
      <c r="H5" s="15" t="s">
        <v>1511</v>
      </c>
      <c r="I5" s="15" t="s">
        <v>28</v>
      </c>
      <c r="J5" s="15" t="s">
        <v>28</v>
      </c>
      <c r="K5" s="15" t="s">
        <v>1512</v>
      </c>
      <c r="L5" s="15"/>
    </row>
    <row r="6" customFormat="false" ht="42" hidden="false" customHeight="true" outlineLevel="0" collapsed="false">
      <c r="A6" s="15" t="s">
        <v>1513</v>
      </c>
      <c r="B6" s="15" t="s">
        <v>1505</v>
      </c>
      <c r="C6" s="15" t="s">
        <v>1514</v>
      </c>
      <c r="D6" s="15" t="s">
        <v>98</v>
      </c>
      <c r="E6" s="15" t="s">
        <v>1515</v>
      </c>
      <c r="F6" s="15" t="s">
        <v>1516</v>
      </c>
      <c r="G6" s="15" t="s">
        <v>1510</v>
      </c>
      <c r="H6" s="15" t="s">
        <v>1517</v>
      </c>
      <c r="I6" s="15" t="s">
        <v>28</v>
      </c>
      <c r="J6" s="15" t="s">
        <v>28</v>
      </c>
      <c r="K6" s="15" t="s">
        <v>1518</v>
      </c>
      <c r="L6" s="15"/>
    </row>
    <row r="7" customFormat="false" ht="54.75" hidden="false" customHeight="true" outlineLevel="0" collapsed="false">
      <c r="A7" s="15" t="s">
        <v>1519</v>
      </c>
      <c r="B7" s="15" t="s">
        <v>1520</v>
      </c>
      <c r="C7" s="15" t="s">
        <v>1521</v>
      </c>
      <c r="D7" s="15" t="s">
        <v>1522</v>
      </c>
      <c r="E7" s="15" t="s">
        <v>1523</v>
      </c>
      <c r="F7" s="15" t="s">
        <v>1524</v>
      </c>
      <c r="G7" s="15" t="s">
        <v>1525</v>
      </c>
      <c r="H7" s="15" t="s">
        <v>1526</v>
      </c>
      <c r="I7" s="15" t="s">
        <v>28</v>
      </c>
      <c r="J7" s="15" t="s">
        <v>28</v>
      </c>
      <c r="K7" s="15" t="s">
        <v>1527</v>
      </c>
      <c r="L7" s="15"/>
    </row>
    <row r="8" customFormat="false" ht="28.5" hidden="false" customHeight="true" outlineLevel="0" collapsed="false">
      <c r="A8" s="15" t="s">
        <v>1528</v>
      </c>
      <c r="B8" s="15" t="s">
        <v>1505</v>
      </c>
      <c r="C8" s="15" t="s">
        <v>1529</v>
      </c>
      <c r="D8" s="15" t="s">
        <v>1530</v>
      </c>
      <c r="E8" s="15" t="s">
        <v>1531</v>
      </c>
      <c r="F8" s="15" t="s">
        <v>1532</v>
      </c>
      <c r="G8" s="15" t="s">
        <v>1525</v>
      </c>
      <c r="H8" s="15" t="s">
        <v>1533</v>
      </c>
      <c r="I8" s="15" t="s">
        <v>28</v>
      </c>
      <c r="J8" s="15" t="s">
        <v>28</v>
      </c>
      <c r="K8" s="15"/>
      <c r="L8" s="15"/>
    </row>
    <row r="9" customFormat="false" ht="42" hidden="false" customHeight="true" outlineLevel="0" collapsed="false">
      <c r="A9" s="15" t="s">
        <v>1534</v>
      </c>
      <c r="B9" s="15" t="s">
        <v>1505</v>
      </c>
      <c r="C9" s="15" t="s">
        <v>154</v>
      </c>
      <c r="D9" s="15" t="s">
        <v>1535</v>
      </c>
      <c r="E9" s="15" t="s">
        <v>1536</v>
      </c>
      <c r="F9" s="15" t="s">
        <v>1537</v>
      </c>
      <c r="G9" s="15" t="s">
        <v>1538</v>
      </c>
      <c r="H9" s="15" t="s">
        <v>1539</v>
      </c>
      <c r="I9" s="15" t="s">
        <v>28</v>
      </c>
      <c r="J9" s="15" t="s">
        <v>28</v>
      </c>
      <c r="K9" s="15" t="s">
        <v>1540</v>
      </c>
      <c r="L9" s="15"/>
    </row>
    <row r="10" customFormat="false" ht="54.75" hidden="false" customHeight="true" outlineLevel="0" collapsed="false">
      <c r="A10" s="15" t="s">
        <v>1541</v>
      </c>
      <c r="B10" s="15" t="s">
        <v>1505</v>
      </c>
      <c r="C10" s="15" t="s">
        <v>1542</v>
      </c>
      <c r="D10" s="15" t="s">
        <v>1543</v>
      </c>
      <c r="E10" s="15" t="s">
        <v>1544</v>
      </c>
      <c r="F10" s="15" t="s">
        <v>1545</v>
      </c>
      <c r="G10" s="15" t="s">
        <v>1525</v>
      </c>
      <c r="H10" s="15" t="s">
        <v>1546</v>
      </c>
      <c r="I10" s="15" t="s">
        <v>28</v>
      </c>
      <c r="J10" s="15" t="s">
        <v>28</v>
      </c>
      <c r="K10" s="15" t="s">
        <v>1547</v>
      </c>
      <c r="L10" s="15"/>
    </row>
    <row r="11" customFormat="false" ht="81" hidden="false" customHeight="true" outlineLevel="0" collapsed="false">
      <c r="A11" s="15" t="s">
        <v>1548</v>
      </c>
      <c r="B11" s="15" t="s">
        <v>1505</v>
      </c>
      <c r="C11" s="15" t="s">
        <v>1549</v>
      </c>
      <c r="D11" s="15" t="s">
        <v>1550</v>
      </c>
      <c r="E11" s="15" t="s">
        <v>1551</v>
      </c>
      <c r="F11" s="15" t="s">
        <v>1552</v>
      </c>
      <c r="G11" s="15" t="s">
        <v>1510</v>
      </c>
      <c r="H11" s="15" t="s">
        <v>1553</v>
      </c>
      <c r="I11" s="15" t="s">
        <v>30</v>
      </c>
      <c r="J11" s="15" t="s">
        <v>30</v>
      </c>
      <c r="K11" s="15" t="s">
        <v>1554</v>
      </c>
      <c r="L11" s="15"/>
    </row>
    <row r="12" customFormat="false" ht="81" hidden="false" customHeight="true" outlineLevel="0" collapsed="false">
      <c r="A12" s="15" t="s">
        <v>1555</v>
      </c>
      <c r="B12" s="15" t="s">
        <v>1505</v>
      </c>
      <c r="C12" s="15" t="s">
        <v>1556</v>
      </c>
      <c r="D12" s="15" t="s">
        <v>1557</v>
      </c>
      <c r="E12" s="15" t="s">
        <v>1558</v>
      </c>
      <c r="F12" s="15" t="s">
        <v>1559</v>
      </c>
      <c r="G12" s="15" t="s">
        <v>1525</v>
      </c>
      <c r="H12" s="15" t="s">
        <v>1560</v>
      </c>
      <c r="I12" s="15" t="s">
        <v>30</v>
      </c>
      <c r="J12" s="15" t="s">
        <v>30</v>
      </c>
      <c r="K12" s="15" t="s">
        <v>1561</v>
      </c>
      <c r="L12" s="15"/>
    </row>
    <row r="13" customFormat="false" ht="28.5" hidden="false" customHeight="true" outlineLevel="0" collapsed="false">
      <c r="A13" s="15" t="s">
        <v>1562</v>
      </c>
      <c r="B13" s="15" t="s">
        <v>1563</v>
      </c>
      <c r="C13" s="15" t="s">
        <v>1564</v>
      </c>
      <c r="D13" s="15" t="s">
        <v>1565</v>
      </c>
      <c r="E13" s="15" t="s">
        <v>1566</v>
      </c>
      <c r="F13" s="15" t="s">
        <v>1567</v>
      </c>
      <c r="G13" s="15" t="s">
        <v>1525</v>
      </c>
      <c r="H13" s="15" t="s">
        <v>1568</v>
      </c>
      <c r="I13" s="15" t="s">
        <v>28</v>
      </c>
      <c r="J13" s="15" t="s">
        <v>28</v>
      </c>
      <c r="K13" s="15"/>
      <c r="L13" s="15"/>
    </row>
    <row r="14" customFormat="false" ht="54.75" hidden="false" customHeight="true" outlineLevel="0" collapsed="false">
      <c r="A14" s="15" t="s">
        <v>1569</v>
      </c>
      <c r="B14" s="15" t="s">
        <v>1570</v>
      </c>
      <c r="C14" s="15" t="s">
        <v>1571</v>
      </c>
      <c r="D14" s="15" t="s">
        <v>1572</v>
      </c>
      <c r="E14" s="15" t="s">
        <v>1573</v>
      </c>
      <c r="F14" s="15" t="s">
        <v>1574</v>
      </c>
      <c r="G14" s="15" t="s">
        <v>1525</v>
      </c>
      <c r="H14" s="15" t="s">
        <v>1575</v>
      </c>
      <c r="I14" s="15" t="s">
        <v>30</v>
      </c>
      <c r="J14" s="15" t="s">
        <v>30</v>
      </c>
      <c r="K14" s="15" t="s">
        <v>1576</v>
      </c>
      <c r="L14" s="15"/>
    </row>
    <row r="15" customFormat="false" ht="54.75" hidden="false" customHeight="true" outlineLevel="0" collapsed="false">
      <c r="A15" s="15" t="s">
        <v>1577</v>
      </c>
      <c r="B15" s="15" t="s">
        <v>1505</v>
      </c>
      <c r="C15" s="15" t="s">
        <v>1578</v>
      </c>
      <c r="D15" s="15" t="s">
        <v>1579</v>
      </c>
      <c r="E15" s="15" t="s">
        <v>1580</v>
      </c>
      <c r="F15" s="15" t="s">
        <v>1581</v>
      </c>
      <c r="G15" s="15" t="s">
        <v>1582</v>
      </c>
      <c r="H15" s="15" t="s">
        <v>1583</v>
      </c>
      <c r="I15" s="15" t="s">
        <v>28</v>
      </c>
      <c r="J15" s="15" t="s">
        <v>28</v>
      </c>
      <c r="K15" s="15" t="s">
        <v>1584</v>
      </c>
      <c r="L15" s="15"/>
    </row>
    <row r="16" customFormat="false" ht="54.75" hidden="false" customHeight="true" outlineLevel="0" collapsed="false">
      <c r="A16" s="15" t="s">
        <v>1585</v>
      </c>
      <c r="B16" s="15" t="s">
        <v>1505</v>
      </c>
      <c r="C16" s="15" t="s">
        <v>1586</v>
      </c>
      <c r="D16" s="15" t="s">
        <v>1587</v>
      </c>
      <c r="E16" s="15" t="s">
        <v>1588</v>
      </c>
      <c r="F16" s="15" t="s">
        <v>1589</v>
      </c>
      <c r="G16" s="15" t="s">
        <v>1525</v>
      </c>
      <c r="H16" s="15" t="s">
        <v>1590</v>
      </c>
      <c r="I16" s="15" t="s">
        <v>26</v>
      </c>
      <c r="J16" s="15" t="s">
        <v>26</v>
      </c>
      <c r="K16" s="15" t="s">
        <v>1591</v>
      </c>
      <c r="L16" s="15"/>
    </row>
    <row r="17" customFormat="false" ht="42" hidden="false" customHeight="true" outlineLevel="0" collapsed="false">
      <c r="A17" s="15" t="s">
        <v>1592</v>
      </c>
      <c r="B17" s="15" t="s">
        <v>1593</v>
      </c>
      <c r="C17" s="15" t="s">
        <v>1594</v>
      </c>
      <c r="D17" s="15" t="s">
        <v>1595</v>
      </c>
      <c r="E17" s="15" t="s">
        <v>1596</v>
      </c>
      <c r="F17" s="15" t="s">
        <v>1597</v>
      </c>
      <c r="G17" s="15" t="s">
        <v>1598</v>
      </c>
      <c r="H17" s="15" t="s">
        <v>1599</v>
      </c>
      <c r="I17" s="15" t="s">
        <v>28</v>
      </c>
      <c r="J17" s="15" t="s">
        <v>28</v>
      </c>
      <c r="K17" s="15" t="s">
        <v>1600</v>
      </c>
      <c r="L17" s="15"/>
    </row>
    <row r="18" customFormat="false" ht="28.5" hidden="false" customHeight="true" outlineLevel="0" collapsed="false">
      <c r="A18" s="15" t="s">
        <v>1601</v>
      </c>
      <c r="B18" s="15" t="s">
        <v>1593</v>
      </c>
      <c r="C18" s="15" t="s">
        <v>1602</v>
      </c>
      <c r="D18" s="15" t="s">
        <v>1603</v>
      </c>
      <c r="E18" s="15" t="s">
        <v>1604</v>
      </c>
      <c r="F18" s="15" t="s">
        <v>1605</v>
      </c>
      <c r="G18" s="15" t="s">
        <v>1598</v>
      </c>
      <c r="H18" s="15" t="s">
        <v>1606</v>
      </c>
      <c r="I18" s="15" t="s">
        <v>28</v>
      </c>
      <c r="J18" s="15" t="s">
        <v>28</v>
      </c>
      <c r="K18" s="15"/>
      <c r="L18" s="15"/>
    </row>
    <row r="19" customFormat="false" ht="28.5" hidden="false" customHeight="true" outlineLevel="0" collapsed="false">
      <c r="A19" s="15" t="s">
        <v>1607</v>
      </c>
      <c r="B19" s="15" t="s">
        <v>1563</v>
      </c>
      <c r="C19" s="15" t="s">
        <v>1608</v>
      </c>
      <c r="D19" s="15" t="s">
        <v>1609</v>
      </c>
      <c r="E19" s="15" t="s">
        <v>1610</v>
      </c>
      <c r="F19" s="15" t="s">
        <v>1611</v>
      </c>
      <c r="G19" s="15" t="s">
        <v>1612</v>
      </c>
      <c r="H19" s="15" t="s">
        <v>1613</v>
      </c>
      <c r="I19" s="15" t="s">
        <v>32</v>
      </c>
      <c r="J19" s="15" t="s">
        <v>32</v>
      </c>
      <c r="K19" s="15" t="s">
        <v>1614</v>
      </c>
      <c r="L19" s="15"/>
    </row>
    <row r="20" customFormat="false" ht="42" hidden="false" customHeight="true" outlineLevel="0" collapsed="false">
      <c r="A20" s="15" t="s">
        <v>1615</v>
      </c>
      <c r="B20" s="15" t="s">
        <v>1505</v>
      </c>
      <c r="C20" s="15" t="s">
        <v>1616</v>
      </c>
      <c r="D20" s="15" t="s">
        <v>1617</v>
      </c>
      <c r="E20" s="15" t="s">
        <v>1618</v>
      </c>
      <c r="F20" s="15" t="s">
        <v>1619</v>
      </c>
      <c r="G20" s="15" t="s">
        <v>1510</v>
      </c>
      <c r="H20" s="15" t="s">
        <v>1620</v>
      </c>
      <c r="I20" s="15" t="s">
        <v>28</v>
      </c>
      <c r="J20" s="15" t="s">
        <v>28</v>
      </c>
      <c r="K20" s="15"/>
      <c r="L20" s="15"/>
    </row>
    <row r="21" customFormat="false" ht="42" hidden="false" customHeight="true" outlineLevel="0" collapsed="false">
      <c r="A21" s="15" t="s">
        <v>1621</v>
      </c>
      <c r="B21" s="15" t="s">
        <v>1593</v>
      </c>
      <c r="C21" s="15" t="s">
        <v>1622</v>
      </c>
      <c r="D21" s="15" t="s">
        <v>1623</v>
      </c>
      <c r="E21" s="15" t="s">
        <v>1624</v>
      </c>
      <c r="F21" s="15" t="s">
        <v>1625</v>
      </c>
      <c r="G21" s="15" t="s">
        <v>1510</v>
      </c>
      <c r="H21" s="15" t="s">
        <v>1626</v>
      </c>
      <c r="I21" s="15" t="s">
        <v>30</v>
      </c>
      <c r="J21" s="15" t="s">
        <v>30</v>
      </c>
      <c r="K21" s="15" t="s">
        <v>1627</v>
      </c>
      <c r="L21" s="15"/>
    </row>
    <row r="22" customFormat="false" ht="28.5" hidden="false" customHeight="true" outlineLevel="0" collapsed="false">
      <c r="A22" s="15" t="s">
        <v>1628</v>
      </c>
      <c r="B22" s="15" t="s">
        <v>1593</v>
      </c>
      <c r="C22" s="15" t="s">
        <v>1623</v>
      </c>
      <c r="D22" s="15" t="s">
        <v>1622</v>
      </c>
      <c r="E22" s="15" t="s">
        <v>1629</v>
      </c>
      <c r="F22" s="15" t="s">
        <v>1630</v>
      </c>
      <c r="G22" s="15" t="s">
        <v>1631</v>
      </c>
      <c r="H22" s="15" t="s">
        <v>1632</v>
      </c>
      <c r="I22" s="15" t="s">
        <v>28</v>
      </c>
      <c r="J22" s="15" t="s">
        <v>28</v>
      </c>
      <c r="K22" s="15" t="s">
        <v>1633</v>
      </c>
      <c r="L22" s="15"/>
    </row>
    <row r="23" customFormat="false" ht="42" hidden="false" customHeight="true" outlineLevel="0" collapsed="false">
      <c r="A23" s="15" t="s">
        <v>1634</v>
      </c>
      <c r="B23" s="15" t="s">
        <v>1635</v>
      </c>
      <c r="C23" s="15" t="s">
        <v>1636</v>
      </c>
      <c r="D23" s="15" t="s">
        <v>1637</v>
      </c>
      <c r="E23" s="15" t="s">
        <v>1638</v>
      </c>
      <c r="F23" s="15" t="s">
        <v>1639</v>
      </c>
      <c r="G23" s="15" t="s">
        <v>1640</v>
      </c>
      <c r="H23" s="15" t="s">
        <v>1641</v>
      </c>
      <c r="I23" s="15" t="s">
        <v>28</v>
      </c>
      <c r="J23" s="15" t="s">
        <v>28</v>
      </c>
      <c r="K23" s="15" t="s">
        <v>1642</v>
      </c>
      <c r="L23" s="15"/>
    </row>
    <row r="24" customFormat="false" ht="42" hidden="false" customHeight="true" outlineLevel="0" collapsed="false">
      <c r="A24" s="15" t="s">
        <v>1643</v>
      </c>
      <c r="B24" s="15" t="s">
        <v>1635</v>
      </c>
      <c r="C24" s="15" t="s">
        <v>1644</v>
      </c>
      <c r="D24" s="15" t="s">
        <v>1645</v>
      </c>
      <c r="E24" s="15" t="s">
        <v>1646</v>
      </c>
      <c r="F24" s="15" t="s">
        <v>1647</v>
      </c>
      <c r="G24" s="15" t="s">
        <v>1640</v>
      </c>
      <c r="H24" s="15" t="s">
        <v>1648</v>
      </c>
      <c r="I24" s="15" t="s">
        <v>28</v>
      </c>
      <c r="J24" s="15" t="s">
        <v>28</v>
      </c>
      <c r="K24" s="15"/>
      <c r="L24" s="15"/>
    </row>
    <row r="25" customFormat="false" ht="67.5" hidden="false" customHeight="true" outlineLevel="0" collapsed="false">
      <c r="A25" s="15" t="s">
        <v>1649</v>
      </c>
      <c r="B25" s="15" t="s">
        <v>1650</v>
      </c>
      <c r="C25" s="15" t="s">
        <v>1651</v>
      </c>
      <c r="D25" s="15" t="s">
        <v>1652</v>
      </c>
      <c r="E25" s="15" t="s">
        <v>1653</v>
      </c>
      <c r="F25" s="15" t="s">
        <v>1654</v>
      </c>
      <c r="G25" s="15" t="s">
        <v>1655</v>
      </c>
      <c r="H25" s="15" t="s">
        <v>1656</v>
      </c>
      <c r="I25" s="15" t="s">
        <v>30</v>
      </c>
      <c r="J25" s="15" t="s">
        <v>30</v>
      </c>
      <c r="K25" s="15" t="s">
        <v>1657</v>
      </c>
      <c r="L25" s="15"/>
    </row>
    <row r="26" customFormat="false" ht="54.75" hidden="false" customHeight="true" outlineLevel="0" collapsed="false">
      <c r="A26" s="15" t="s">
        <v>1658</v>
      </c>
      <c r="B26" s="15" t="s">
        <v>1650</v>
      </c>
      <c r="C26" s="15" t="s">
        <v>1659</v>
      </c>
      <c r="D26" s="15" t="s">
        <v>1660</v>
      </c>
      <c r="E26" s="15" t="s">
        <v>1661</v>
      </c>
      <c r="F26" s="15" t="s">
        <v>1662</v>
      </c>
      <c r="G26" s="15" t="s">
        <v>1525</v>
      </c>
      <c r="H26" s="15" t="s">
        <v>1663</v>
      </c>
      <c r="I26" s="15" t="s">
        <v>31</v>
      </c>
      <c r="J26" s="15" t="s">
        <v>31</v>
      </c>
      <c r="K26" s="15" t="s">
        <v>1664</v>
      </c>
      <c r="L26" s="15"/>
    </row>
    <row r="27" customFormat="false" ht="42" hidden="false" customHeight="true" outlineLevel="0" collapsed="false">
      <c r="A27" s="15" t="s">
        <v>1665</v>
      </c>
      <c r="B27" s="15" t="s">
        <v>1650</v>
      </c>
      <c r="C27" s="15" t="s">
        <v>1666</v>
      </c>
      <c r="D27" s="15" t="s">
        <v>1623</v>
      </c>
      <c r="E27" s="15" t="s">
        <v>1667</v>
      </c>
      <c r="F27" s="15" t="s">
        <v>1668</v>
      </c>
      <c r="G27" s="15" t="s">
        <v>1631</v>
      </c>
      <c r="H27" s="15" t="s">
        <v>1669</v>
      </c>
      <c r="I27" s="15" t="s">
        <v>28</v>
      </c>
      <c r="J27" s="15" t="s">
        <v>28</v>
      </c>
      <c r="K27" s="15"/>
      <c r="L27" s="15"/>
    </row>
    <row r="28" customFormat="false" ht="28.5" hidden="false" customHeight="true" outlineLevel="0" collapsed="false">
      <c r="A28" s="15" t="s">
        <v>1670</v>
      </c>
      <c r="B28" s="15" t="s">
        <v>1650</v>
      </c>
      <c r="C28" s="15" t="s">
        <v>1671</v>
      </c>
      <c r="D28" s="15" t="s">
        <v>1672</v>
      </c>
      <c r="E28" s="15" t="s">
        <v>1673</v>
      </c>
      <c r="F28" s="15" t="s">
        <v>1674</v>
      </c>
      <c r="G28" s="15" t="s">
        <v>1675</v>
      </c>
      <c r="H28" s="15" t="s">
        <v>1676</v>
      </c>
      <c r="I28" s="15" t="s">
        <v>28</v>
      </c>
      <c r="J28" s="15" t="s">
        <v>28</v>
      </c>
      <c r="K28" s="15" t="s">
        <v>1677</v>
      </c>
      <c r="L28" s="15"/>
    </row>
    <row r="29" customFormat="false" ht="28.5" hidden="false" customHeight="true" outlineLevel="0" collapsed="false">
      <c r="A29" s="15" t="s">
        <v>1678</v>
      </c>
      <c r="B29" s="15" t="s">
        <v>1650</v>
      </c>
      <c r="C29" s="15" t="s">
        <v>1679</v>
      </c>
      <c r="D29" s="15" t="s">
        <v>1680</v>
      </c>
      <c r="E29" s="15" t="s">
        <v>1681</v>
      </c>
      <c r="F29" s="15" t="s">
        <v>1682</v>
      </c>
      <c r="G29" s="15" t="s">
        <v>1612</v>
      </c>
      <c r="H29" s="15" t="s">
        <v>1683</v>
      </c>
      <c r="I29" s="15" t="s">
        <v>32</v>
      </c>
      <c r="J29" s="15" t="s">
        <v>32</v>
      </c>
      <c r="K29" s="15" t="s">
        <v>1684</v>
      </c>
      <c r="L29" s="15"/>
    </row>
    <row r="30" customFormat="false" ht="28.5" hidden="false" customHeight="true" outlineLevel="0" collapsed="false">
      <c r="A30" s="15" t="s">
        <v>1685</v>
      </c>
      <c r="B30" s="15" t="s">
        <v>1650</v>
      </c>
      <c r="C30" s="15" t="s">
        <v>1686</v>
      </c>
      <c r="D30" s="15" t="s">
        <v>1687</v>
      </c>
      <c r="E30" s="15" t="s">
        <v>1688</v>
      </c>
      <c r="F30" s="15" t="s">
        <v>1689</v>
      </c>
      <c r="G30" s="15" t="s">
        <v>1612</v>
      </c>
      <c r="H30" s="15" t="s">
        <v>1690</v>
      </c>
      <c r="I30" s="15" t="s">
        <v>32</v>
      </c>
      <c r="J30" s="15" t="s">
        <v>32</v>
      </c>
      <c r="K30" s="15"/>
      <c r="L30" s="15"/>
    </row>
    <row r="31" customFormat="false" ht="42" hidden="false" customHeight="true" outlineLevel="0" collapsed="false">
      <c r="A31" s="15" t="s">
        <v>1691</v>
      </c>
      <c r="B31" s="15" t="s">
        <v>1650</v>
      </c>
      <c r="C31" s="15" t="s">
        <v>1692</v>
      </c>
      <c r="D31" s="15" t="s">
        <v>1693</v>
      </c>
      <c r="E31" s="15" t="s">
        <v>1694</v>
      </c>
      <c r="F31" s="15" t="s">
        <v>1695</v>
      </c>
      <c r="G31" s="15" t="s">
        <v>1696</v>
      </c>
      <c r="H31" s="15" t="s">
        <v>1697</v>
      </c>
      <c r="I31" s="15" t="s">
        <v>32</v>
      </c>
      <c r="J31" s="15" t="s">
        <v>32</v>
      </c>
      <c r="K31" s="15" t="s">
        <v>1698</v>
      </c>
      <c r="L31" s="15"/>
    </row>
    <row r="32" customFormat="false" ht="67.5" hidden="false" customHeight="true" outlineLevel="0" collapsed="false">
      <c r="A32" s="15" t="s">
        <v>1699</v>
      </c>
      <c r="B32" s="15" t="s">
        <v>1570</v>
      </c>
      <c r="C32" s="15" t="s">
        <v>1700</v>
      </c>
      <c r="D32" s="15" t="s">
        <v>1701</v>
      </c>
      <c r="E32" s="15" t="s">
        <v>1702</v>
      </c>
      <c r="F32" s="15" t="s">
        <v>1703</v>
      </c>
      <c r="G32" s="15" t="s">
        <v>1525</v>
      </c>
      <c r="H32" s="15" t="s">
        <v>1704</v>
      </c>
      <c r="I32" s="15" t="s">
        <v>30</v>
      </c>
      <c r="J32" s="15" t="s">
        <v>30</v>
      </c>
      <c r="K32" s="15" t="s">
        <v>1705</v>
      </c>
      <c r="L32" s="15"/>
    </row>
    <row r="33" customFormat="false" ht="42" hidden="false" customHeight="true" outlineLevel="0" collapsed="false">
      <c r="A33" s="15" t="s">
        <v>1706</v>
      </c>
      <c r="B33" s="15" t="s">
        <v>1570</v>
      </c>
      <c r="C33" s="15" t="s">
        <v>1707</v>
      </c>
      <c r="D33" s="15" t="s">
        <v>1701</v>
      </c>
      <c r="E33" s="15" t="s">
        <v>1708</v>
      </c>
      <c r="F33" s="15" t="s">
        <v>1709</v>
      </c>
      <c r="G33" s="15" t="s">
        <v>1525</v>
      </c>
      <c r="H33" s="15" t="s">
        <v>1710</v>
      </c>
      <c r="I33" s="15" t="s">
        <v>26</v>
      </c>
      <c r="J33" s="15" t="s">
        <v>28</v>
      </c>
      <c r="K33" s="15" t="s">
        <v>1711</v>
      </c>
      <c r="L33" s="15" t="s">
        <v>1712</v>
      </c>
    </row>
    <row r="34" customFormat="false" ht="54.75" hidden="false" customHeight="true" outlineLevel="0" collapsed="false">
      <c r="A34" s="15" t="s">
        <v>1713</v>
      </c>
      <c r="B34" s="15" t="s">
        <v>1570</v>
      </c>
      <c r="C34" s="15" t="s">
        <v>1714</v>
      </c>
      <c r="D34" s="15" t="s">
        <v>1715</v>
      </c>
      <c r="E34" s="15" t="s">
        <v>1716</v>
      </c>
      <c r="F34" s="15" t="s">
        <v>1717</v>
      </c>
      <c r="G34" s="15" t="s">
        <v>1612</v>
      </c>
      <c r="H34" s="15" t="s">
        <v>1718</v>
      </c>
      <c r="I34" s="15" t="s">
        <v>32</v>
      </c>
      <c r="J34" s="15" t="s">
        <v>28</v>
      </c>
      <c r="K34" s="15" t="s">
        <v>1719</v>
      </c>
      <c r="L34" s="15" t="s">
        <v>1720</v>
      </c>
    </row>
    <row r="35" customFormat="false" ht="42" hidden="false" customHeight="true" outlineLevel="0" collapsed="false">
      <c r="A35" s="15" t="s">
        <v>1721</v>
      </c>
      <c r="B35" s="15" t="s">
        <v>1570</v>
      </c>
      <c r="C35" s="15" t="s">
        <v>1722</v>
      </c>
      <c r="D35" s="15" t="s">
        <v>1723</v>
      </c>
      <c r="E35" s="15" t="s">
        <v>1724</v>
      </c>
      <c r="F35" s="15" t="s">
        <v>1725</v>
      </c>
      <c r="G35" s="15" t="s">
        <v>1510</v>
      </c>
      <c r="H35" s="15" t="s">
        <v>1726</v>
      </c>
      <c r="I35" s="15" t="s">
        <v>30</v>
      </c>
      <c r="J35" s="15" t="s">
        <v>30</v>
      </c>
      <c r="K35" s="15" t="s">
        <v>1727</v>
      </c>
      <c r="L35" s="15"/>
    </row>
    <row r="36" customFormat="false" ht="28.5" hidden="false" customHeight="true" outlineLevel="0" collapsed="false">
      <c r="A36" s="15" t="s">
        <v>1728</v>
      </c>
      <c r="B36" s="15" t="s">
        <v>1570</v>
      </c>
      <c r="C36" s="15" t="s">
        <v>1729</v>
      </c>
      <c r="D36" s="15" t="s">
        <v>1730</v>
      </c>
      <c r="E36" s="15" t="s">
        <v>1731</v>
      </c>
      <c r="F36" s="15" t="s">
        <v>1732</v>
      </c>
      <c r="G36" s="15" t="s">
        <v>1525</v>
      </c>
      <c r="H36" s="15" t="s">
        <v>1733</v>
      </c>
      <c r="I36" s="15" t="s">
        <v>26</v>
      </c>
      <c r="J36" s="15" t="s">
        <v>26</v>
      </c>
      <c r="K36" s="15" t="s">
        <v>1734</v>
      </c>
      <c r="L36" s="15"/>
    </row>
    <row r="37" customFormat="false" ht="67.5" hidden="false" customHeight="true" outlineLevel="0" collapsed="false">
      <c r="A37" s="15" t="s">
        <v>1735</v>
      </c>
      <c r="B37" s="15" t="s">
        <v>1570</v>
      </c>
      <c r="C37" s="15" t="s">
        <v>1736</v>
      </c>
      <c r="D37" s="15" t="s">
        <v>1737</v>
      </c>
      <c r="E37" s="15" t="s">
        <v>1738</v>
      </c>
      <c r="F37" s="15" t="s">
        <v>1739</v>
      </c>
      <c r="G37" s="15" t="s">
        <v>1740</v>
      </c>
      <c r="H37" s="15" t="s">
        <v>1741</v>
      </c>
      <c r="I37" s="15" t="s">
        <v>30</v>
      </c>
      <c r="J37" s="15" t="s">
        <v>30</v>
      </c>
      <c r="K37" s="15" t="s">
        <v>1742</v>
      </c>
      <c r="L37" s="15" t="s">
        <v>1743</v>
      </c>
    </row>
    <row r="38" customFormat="false" ht="54.75" hidden="false" customHeight="true" outlineLevel="0" collapsed="false">
      <c r="A38" s="15" t="s">
        <v>1744</v>
      </c>
      <c r="B38" s="15" t="s">
        <v>1570</v>
      </c>
      <c r="C38" s="15" t="s">
        <v>1745</v>
      </c>
      <c r="D38" s="15" t="s">
        <v>1746</v>
      </c>
      <c r="E38" s="15" t="s">
        <v>1747</v>
      </c>
      <c r="F38" s="15" t="s">
        <v>1748</v>
      </c>
      <c r="G38" s="15" t="s">
        <v>1749</v>
      </c>
      <c r="H38" s="15" t="s">
        <v>1750</v>
      </c>
      <c r="I38" s="15" t="s">
        <v>32</v>
      </c>
      <c r="J38" s="15" t="s">
        <v>28</v>
      </c>
      <c r="K38" s="15" t="s">
        <v>1751</v>
      </c>
      <c r="L38" s="15" t="s">
        <v>1752</v>
      </c>
    </row>
    <row r="39" customFormat="false" ht="67.5" hidden="false" customHeight="true" outlineLevel="0" collapsed="false">
      <c r="A39" s="15" t="s">
        <v>1753</v>
      </c>
      <c r="B39" s="15" t="s">
        <v>1570</v>
      </c>
      <c r="C39" s="15" t="s">
        <v>1754</v>
      </c>
      <c r="D39" s="15" t="s">
        <v>1755</v>
      </c>
      <c r="E39" s="15" t="s">
        <v>1756</v>
      </c>
      <c r="F39" s="15" t="s">
        <v>1757</v>
      </c>
      <c r="G39" s="15" t="s">
        <v>1758</v>
      </c>
      <c r="H39" s="15" t="s">
        <v>1759</v>
      </c>
      <c r="I39" s="15" t="s">
        <v>32</v>
      </c>
      <c r="J39" s="15" t="s">
        <v>28</v>
      </c>
      <c r="K39" s="15" t="s">
        <v>1760</v>
      </c>
      <c r="L39" s="15" t="s">
        <v>1761</v>
      </c>
    </row>
    <row r="40" customFormat="false" ht="28.5" hidden="false" customHeight="true" outlineLevel="0" collapsed="false">
      <c r="A40" s="15" t="s">
        <v>1762</v>
      </c>
      <c r="B40" s="15" t="s">
        <v>1570</v>
      </c>
      <c r="C40" s="15" t="s">
        <v>1763</v>
      </c>
      <c r="D40" s="15" t="s">
        <v>1764</v>
      </c>
      <c r="E40" s="15" t="s">
        <v>1765</v>
      </c>
      <c r="F40" s="15" t="s">
        <v>1766</v>
      </c>
      <c r="G40" s="15" t="s">
        <v>1767</v>
      </c>
      <c r="H40" s="15" t="s">
        <v>1768</v>
      </c>
      <c r="I40" s="15" t="s">
        <v>28</v>
      </c>
      <c r="J40" s="15" t="s">
        <v>28</v>
      </c>
      <c r="K40" s="15"/>
      <c r="L40" s="15"/>
    </row>
    <row r="41" customFormat="false" ht="28.5" hidden="false" customHeight="true" outlineLevel="0" collapsed="false">
      <c r="A41" s="15" t="s">
        <v>1769</v>
      </c>
      <c r="B41" s="15" t="s">
        <v>1570</v>
      </c>
      <c r="C41" s="15" t="s">
        <v>1770</v>
      </c>
      <c r="D41" s="15" t="s">
        <v>1771</v>
      </c>
      <c r="E41" s="15" t="s">
        <v>1772</v>
      </c>
      <c r="F41" s="15" t="s">
        <v>1773</v>
      </c>
      <c r="G41" s="15" t="s">
        <v>1675</v>
      </c>
      <c r="H41" s="15" t="s">
        <v>1774</v>
      </c>
      <c r="I41" s="15" t="s">
        <v>28</v>
      </c>
      <c r="J41" s="15" t="s">
        <v>28</v>
      </c>
      <c r="K41" s="15"/>
      <c r="L41" s="15"/>
    </row>
    <row r="42" customFormat="false" ht="42" hidden="false" customHeight="true" outlineLevel="0" collapsed="false">
      <c r="A42" s="15" t="s">
        <v>1775</v>
      </c>
      <c r="B42" s="15" t="s">
        <v>1570</v>
      </c>
      <c r="C42" s="15" t="s">
        <v>1776</v>
      </c>
      <c r="D42" s="15" t="s">
        <v>1777</v>
      </c>
      <c r="E42" s="15" t="s">
        <v>1778</v>
      </c>
      <c r="F42" s="15" t="s">
        <v>1779</v>
      </c>
      <c r="G42" s="15" t="s">
        <v>1780</v>
      </c>
      <c r="H42" s="15" t="s">
        <v>1781</v>
      </c>
      <c r="I42" s="15" t="s">
        <v>30</v>
      </c>
      <c r="J42" s="15" t="s">
        <v>30</v>
      </c>
      <c r="K42" s="15" t="s">
        <v>1782</v>
      </c>
      <c r="L42" s="15"/>
    </row>
    <row r="43" customFormat="false" ht="42" hidden="false" customHeight="true" outlineLevel="0" collapsed="false">
      <c r="A43" s="15" t="s">
        <v>1783</v>
      </c>
      <c r="B43" s="15" t="s">
        <v>1570</v>
      </c>
      <c r="C43" s="15" t="s">
        <v>1784</v>
      </c>
      <c r="D43" s="15" t="s">
        <v>1785</v>
      </c>
      <c r="E43" s="15" t="s">
        <v>1786</v>
      </c>
      <c r="F43" s="15" t="s">
        <v>1787</v>
      </c>
      <c r="G43" s="15" t="s">
        <v>1525</v>
      </c>
      <c r="H43" s="15" t="s">
        <v>1788</v>
      </c>
      <c r="I43" s="15" t="s">
        <v>30</v>
      </c>
      <c r="J43" s="15" t="s">
        <v>30</v>
      </c>
      <c r="K43" s="15" t="s">
        <v>1789</v>
      </c>
      <c r="L43" s="15"/>
    </row>
    <row r="44" customFormat="false" ht="28.5" hidden="false" customHeight="true" outlineLevel="0" collapsed="false">
      <c r="A44" s="15" t="s">
        <v>1790</v>
      </c>
      <c r="B44" s="15" t="s">
        <v>1570</v>
      </c>
      <c r="C44" s="15" t="s">
        <v>1791</v>
      </c>
      <c r="D44" s="15" t="s">
        <v>1792</v>
      </c>
      <c r="E44" s="15" t="s">
        <v>1793</v>
      </c>
      <c r="F44" s="15" t="s">
        <v>1794</v>
      </c>
      <c r="G44" s="15" t="s">
        <v>1525</v>
      </c>
      <c r="H44" s="15" t="s">
        <v>1795</v>
      </c>
      <c r="I44" s="15" t="s">
        <v>28</v>
      </c>
      <c r="J44" s="15" t="s">
        <v>28</v>
      </c>
      <c r="K44" s="15"/>
      <c r="L44" s="15"/>
    </row>
    <row r="45" customFormat="false" ht="81" hidden="false" customHeight="true" outlineLevel="0" collapsed="false">
      <c r="A45" s="15" t="s">
        <v>1796</v>
      </c>
      <c r="B45" s="15" t="s">
        <v>1570</v>
      </c>
      <c r="C45" s="15" t="s">
        <v>1797</v>
      </c>
      <c r="D45" s="15" t="s">
        <v>1798</v>
      </c>
      <c r="E45" s="15" t="s">
        <v>1799</v>
      </c>
      <c r="F45" s="15" t="s">
        <v>1800</v>
      </c>
      <c r="G45" s="15" t="s">
        <v>1612</v>
      </c>
      <c r="H45" s="15" t="s">
        <v>1801</v>
      </c>
      <c r="I45" s="15" t="s">
        <v>32</v>
      </c>
      <c r="J45" s="15" t="s">
        <v>30</v>
      </c>
      <c r="K45" s="15" t="s">
        <v>1802</v>
      </c>
      <c r="L45" s="15" t="s">
        <v>1803</v>
      </c>
    </row>
    <row r="46" customFormat="false" ht="42" hidden="false" customHeight="true" outlineLevel="0" collapsed="false">
      <c r="A46" s="15" t="s">
        <v>1804</v>
      </c>
      <c r="B46" s="15" t="s">
        <v>1570</v>
      </c>
      <c r="C46" s="15" t="s">
        <v>1805</v>
      </c>
      <c r="D46" s="15" t="s">
        <v>1701</v>
      </c>
      <c r="E46" s="15" t="s">
        <v>1806</v>
      </c>
      <c r="F46" s="15" t="s">
        <v>1807</v>
      </c>
      <c r="G46" s="15" t="s">
        <v>1612</v>
      </c>
      <c r="H46" s="15" t="s">
        <v>1808</v>
      </c>
      <c r="I46" s="15" t="s">
        <v>32</v>
      </c>
      <c r="J46" s="15" t="s">
        <v>28</v>
      </c>
      <c r="K46" s="15" t="s">
        <v>1809</v>
      </c>
      <c r="L46" s="15" t="s">
        <v>1810</v>
      </c>
    </row>
    <row r="47" customFormat="false" ht="28.5" hidden="false" customHeight="true" outlineLevel="0" collapsed="false">
      <c r="A47" s="15" t="s">
        <v>1811</v>
      </c>
      <c r="B47" s="15" t="s">
        <v>1812</v>
      </c>
      <c r="C47" s="15" t="s">
        <v>1813</v>
      </c>
      <c r="D47" s="15" t="s">
        <v>1814</v>
      </c>
      <c r="E47" s="15" t="s">
        <v>1815</v>
      </c>
      <c r="F47" s="15" t="s">
        <v>1816</v>
      </c>
      <c r="G47" s="15" t="s">
        <v>1749</v>
      </c>
      <c r="H47" s="15" t="s">
        <v>1817</v>
      </c>
      <c r="I47" s="15" t="s">
        <v>32</v>
      </c>
      <c r="J47" s="15" t="s">
        <v>34</v>
      </c>
      <c r="K47" s="15"/>
      <c r="L47" s="15" t="s">
        <v>1818</v>
      </c>
    </row>
    <row r="48" customFormat="false" ht="54.75" hidden="false" customHeight="true" outlineLevel="0" collapsed="false">
      <c r="A48" s="15" t="s">
        <v>1819</v>
      </c>
      <c r="B48" s="15" t="s">
        <v>1812</v>
      </c>
      <c r="C48" s="15" t="s">
        <v>1820</v>
      </c>
      <c r="D48" s="15" t="s">
        <v>1821</v>
      </c>
      <c r="E48" s="15" t="s">
        <v>1822</v>
      </c>
      <c r="F48" s="15" t="s">
        <v>1823</v>
      </c>
      <c r="G48" s="15" t="s">
        <v>1525</v>
      </c>
      <c r="H48" s="15" t="s">
        <v>1824</v>
      </c>
      <c r="I48" s="15" t="s">
        <v>26</v>
      </c>
      <c r="J48" s="15" t="s">
        <v>26</v>
      </c>
      <c r="K48" s="15" t="s">
        <v>1825</v>
      </c>
      <c r="L48" s="15"/>
    </row>
    <row r="49" customFormat="false" ht="28.5" hidden="false" customHeight="true" outlineLevel="0" collapsed="false">
      <c r="A49" s="15" t="s">
        <v>1826</v>
      </c>
      <c r="B49" s="15" t="s">
        <v>1812</v>
      </c>
      <c r="C49" s="15" t="s">
        <v>1827</v>
      </c>
      <c r="D49" s="15" t="s">
        <v>1821</v>
      </c>
      <c r="E49" s="15" t="s">
        <v>1828</v>
      </c>
      <c r="F49" s="15" t="s">
        <v>1829</v>
      </c>
      <c r="G49" s="15" t="s">
        <v>1525</v>
      </c>
      <c r="H49" s="15" t="s">
        <v>1830</v>
      </c>
      <c r="I49" s="15" t="s">
        <v>28</v>
      </c>
      <c r="J49" s="15" t="s">
        <v>28</v>
      </c>
      <c r="K49" s="15" t="s">
        <v>1831</v>
      </c>
      <c r="L49" s="15"/>
    </row>
    <row r="50" customFormat="false" ht="28.5" hidden="false" customHeight="true" outlineLevel="0" collapsed="false">
      <c r="A50" s="15" t="s">
        <v>1832</v>
      </c>
      <c r="B50" s="15" t="s">
        <v>1812</v>
      </c>
      <c r="C50" s="15" t="s">
        <v>1833</v>
      </c>
      <c r="D50" s="15" t="s">
        <v>1834</v>
      </c>
      <c r="E50" s="15" t="s">
        <v>1835</v>
      </c>
      <c r="F50" s="15" t="s">
        <v>1836</v>
      </c>
      <c r="G50" s="15" t="s">
        <v>1837</v>
      </c>
      <c r="H50" s="15" t="s">
        <v>1838</v>
      </c>
      <c r="I50" s="15" t="s">
        <v>28</v>
      </c>
      <c r="J50" s="15" t="s">
        <v>28</v>
      </c>
      <c r="K50" s="15"/>
      <c r="L50" s="15"/>
    </row>
    <row r="51" customFormat="false" ht="67.5" hidden="false" customHeight="true" outlineLevel="0" collapsed="false">
      <c r="A51" s="15" t="s">
        <v>1839</v>
      </c>
      <c r="B51" s="15" t="s">
        <v>1812</v>
      </c>
      <c r="C51" s="15" t="s">
        <v>1840</v>
      </c>
      <c r="D51" s="15" t="s">
        <v>1841</v>
      </c>
      <c r="E51" s="15" t="s">
        <v>1842</v>
      </c>
      <c r="F51" s="15" t="s">
        <v>1843</v>
      </c>
      <c r="G51" s="15" t="s">
        <v>1612</v>
      </c>
      <c r="H51" s="15" t="s">
        <v>1844</v>
      </c>
      <c r="I51" s="15" t="s">
        <v>32</v>
      </c>
      <c r="J51" s="15" t="s">
        <v>30</v>
      </c>
      <c r="K51" s="15" t="s">
        <v>1845</v>
      </c>
      <c r="L51" s="15" t="s">
        <v>1846</v>
      </c>
    </row>
    <row r="52" customFormat="false" ht="42" hidden="false" customHeight="true" outlineLevel="0" collapsed="false">
      <c r="A52" s="15" t="s">
        <v>1847</v>
      </c>
      <c r="B52" s="15" t="s">
        <v>1848</v>
      </c>
      <c r="C52" s="15" t="s">
        <v>1849</v>
      </c>
      <c r="D52" s="15" t="s">
        <v>1850</v>
      </c>
      <c r="E52" s="15" t="s">
        <v>1851</v>
      </c>
      <c r="F52" s="15" t="s">
        <v>1852</v>
      </c>
      <c r="G52" s="15" t="s">
        <v>1525</v>
      </c>
      <c r="H52" s="15" t="s">
        <v>1853</v>
      </c>
      <c r="I52" s="15" t="s">
        <v>30</v>
      </c>
      <c r="J52" s="15" t="s">
        <v>30</v>
      </c>
      <c r="K52" s="15" t="s">
        <v>1854</v>
      </c>
      <c r="L52" s="15"/>
    </row>
    <row r="53" customFormat="false" ht="28.5" hidden="false" customHeight="true" outlineLevel="0" collapsed="false">
      <c r="A53" s="15" t="s">
        <v>1855</v>
      </c>
      <c r="B53" s="15" t="s">
        <v>1848</v>
      </c>
      <c r="C53" s="15" t="s">
        <v>1849</v>
      </c>
      <c r="D53" s="15" t="s">
        <v>1856</v>
      </c>
      <c r="E53" s="15" t="s">
        <v>1857</v>
      </c>
      <c r="F53" s="15" t="s">
        <v>1858</v>
      </c>
      <c r="G53" s="15" t="s">
        <v>1612</v>
      </c>
      <c r="H53" s="15" t="s">
        <v>1859</v>
      </c>
      <c r="I53" s="15" t="s">
        <v>32</v>
      </c>
      <c r="J53" s="15" t="s">
        <v>32</v>
      </c>
      <c r="K53" s="15" t="s">
        <v>1860</v>
      </c>
      <c r="L53" s="15"/>
    </row>
    <row r="54" customFormat="false" ht="54.75" hidden="false" customHeight="true" outlineLevel="0" collapsed="false">
      <c r="A54" s="15" t="s">
        <v>1861</v>
      </c>
      <c r="B54" s="15" t="s">
        <v>1848</v>
      </c>
      <c r="C54" s="15" t="s">
        <v>1862</v>
      </c>
      <c r="D54" s="15" t="s">
        <v>1863</v>
      </c>
      <c r="E54" s="15" t="s">
        <v>1864</v>
      </c>
      <c r="F54" s="15" t="s">
        <v>1865</v>
      </c>
      <c r="G54" s="15" t="s">
        <v>1525</v>
      </c>
      <c r="H54" s="15" t="s">
        <v>1866</v>
      </c>
      <c r="I54" s="15" t="s">
        <v>28</v>
      </c>
      <c r="J54" s="15" t="s">
        <v>28</v>
      </c>
      <c r="K54" s="15" t="s">
        <v>1867</v>
      </c>
      <c r="L54" s="15"/>
    </row>
    <row r="55" customFormat="false" ht="54.75" hidden="false" customHeight="true" outlineLevel="0" collapsed="false">
      <c r="A55" s="15" t="s">
        <v>1868</v>
      </c>
      <c r="B55" s="15" t="s">
        <v>1848</v>
      </c>
      <c r="C55" s="15" t="s">
        <v>1862</v>
      </c>
      <c r="D55" s="15" t="s">
        <v>1869</v>
      </c>
      <c r="E55" s="15" t="s">
        <v>1870</v>
      </c>
      <c r="F55" s="15" t="s">
        <v>1871</v>
      </c>
      <c r="G55" s="15" t="s">
        <v>1872</v>
      </c>
      <c r="H55" s="15" t="s">
        <v>1873</v>
      </c>
      <c r="I55" s="15" t="s">
        <v>31</v>
      </c>
      <c r="J55" s="15" t="s">
        <v>31</v>
      </c>
      <c r="K55" s="15" t="s">
        <v>1874</v>
      </c>
      <c r="L55" s="15"/>
    </row>
    <row r="56" customFormat="false" ht="28.5" hidden="false" customHeight="true" outlineLevel="0" collapsed="false">
      <c r="A56" s="15" t="s">
        <v>1875</v>
      </c>
      <c r="B56" s="15" t="s">
        <v>1848</v>
      </c>
      <c r="C56" s="15" t="s">
        <v>1876</v>
      </c>
      <c r="D56" s="15" t="s">
        <v>1877</v>
      </c>
      <c r="E56" s="15" t="s">
        <v>1878</v>
      </c>
      <c r="F56" s="15" t="s">
        <v>1879</v>
      </c>
      <c r="G56" s="15" t="s">
        <v>1612</v>
      </c>
      <c r="H56" s="15" t="s">
        <v>1880</v>
      </c>
      <c r="I56" s="15" t="s">
        <v>31</v>
      </c>
      <c r="J56" s="15" t="s">
        <v>31</v>
      </c>
      <c r="K56" s="15" t="s">
        <v>1881</v>
      </c>
      <c r="L56" s="15"/>
    </row>
    <row r="57" customFormat="false" ht="28.5" hidden="false" customHeight="true" outlineLevel="0" collapsed="false">
      <c r="A57" s="15" t="s">
        <v>1882</v>
      </c>
      <c r="B57" s="15" t="s">
        <v>1848</v>
      </c>
      <c r="C57" s="15" t="s">
        <v>1883</v>
      </c>
      <c r="D57" s="15" t="s">
        <v>1884</v>
      </c>
      <c r="E57" s="15" t="s">
        <v>1885</v>
      </c>
      <c r="F57" s="15" t="s">
        <v>1886</v>
      </c>
      <c r="G57" s="15" t="s">
        <v>1612</v>
      </c>
      <c r="H57" s="15" t="s">
        <v>1887</v>
      </c>
      <c r="I57" s="15" t="s">
        <v>32</v>
      </c>
      <c r="J57" s="15" t="s">
        <v>32</v>
      </c>
      <c r="K57" s="15"/>
      <c r="L57" s="15"/>
    </row>
    <row r="58" customFormat="false" ht="28.5" hidden="false" customHeight="true" outlineLevel="0" collapsed="false">
      <c r="A58" s="15" t="s">
        <v>1888</v>
      </c>
      <c r="B58" s="15" t="s">
        <v>1848</v>
      </c>
      <c r="C58" s="15" t="s">
        <v>1889</v>
      </c>
      <c r="D58" s="15" t="s">
        <v>1890</v>
      </c>
      <c r="E58" s="15" t="s">
        <v>1891</v>
      </c>
      <c r="F58" s="15" t="s">
        <v>1892</v>
      </c>
      <c r="G58" s="15" t="s">
        <v>1612</v>
      </c>
      <c r="H58" s="15" t="s">
        <v>1893</v>
      </c>
      <c r="I58" s="15" t="s">
        <v>32</v>
      </c>
      <c r="J58" s="15" t="s">
        <v>32</v>
      </c>
      <c r="K58" s="15"/>
      <c r="L58" s="15"/>
    </row>
    <row r="59" customFormat="false" ht="42" hidden="false" customHeight="true" outlineLevel="0" collapsed="false">
      <c r="A59" s="15" t="s">
        <v>1894</v>
      </c>
      <c r="B59" s="15" t="s">
        <v>1848</v>
      </c>
      <c r="C59" s="15" t="s">
        <v>1895</v>
      </c>
      <c r="D59" s="15" t="s">
        <v>1896</v>
      </c>
      <c r="E59" s="15" t="s">
        <v>1897</v>
      </c>
      <c r="F59" s="15" t="s">
        <v>1898</v>
      </c>
      <c r="G59" s="15" t="s">
        <v>1899</v>
      </c>
      <c r="H59" s="15" t="s">
        <v>1900</v>
      </c>
      <c r="I59" s="15" t="s">
        <v>28</v>
      </c>
      <c r="J59" s="15" t="s">
        <v>28</v>
      </c>
      <c r="K59" s="15"/>
      <c r="L59" s="15"/>
    </row>
    <row r="60" customFormat="false" ht="42" hidden="false" customHeight="true" outlineLevel="0" collapsed="false">
      <c r="A60" s="15" t="s">
        <v>1901</v>
      </c>
      <c r="B60" s="15" t="s">
        <v>1848</v>
      </c>
      <c r="C60" s="15" t="s">
        <v>1902</v>
      </c>
      <c r="D60" s="15" t="s">
        <v>1903</v>
      </c>
      <c r="E60" s="15" t="s">
        <v>1904</v>
      </c>
      <c r="F60" s="15" t="s">
        <v>1905</v>
      </c>
      <c r="G60" s="15" t="s">
        <v>1510</v>
      </c>
      <c r="H60" s="15" t="s">
        <v>1906</v>
      </c>
      <c r="I60" s="15" t="s">
        <v>28</v>
      </c>
      <c r="J60" s="15" t="s">
        <v>28</v>
      </c>
      <c r="K60" s="15" t="s">
        <v>1907</v>
      </c>
      <c r="L60" s="15"/>
    </row>
    <row r="61" customFormat="false" ht="42" hidden="false" customHeight="true" outlineLevel="0" collapsed="false">
      <c r="A61" s="15" t="s">
        <v>1908</v>
      </c>
      <c r="B61" s="15" t="s">
        <v>1909</v>
      </c>
      <c r="C61" s="15" t="s">
        <v>1910</v>
      </c>
      <c r="D61" s="15" t="s">
        <v>1911</v>
      </c>
      <c r="E61" s="15" t="s">
        <v>1912</v>
      </c>
      <c r="F61" s="15" t="s">
        <v>1913</v>
      </c>
      <c r="G61" s="15" t="s">
        <v>1612</v>
      </c>
      <c r="H61" s="15" t="s">
        <v>1914</v>
      </c>
      <c r="I61" s="15" t="s">
        <v>32</v>
      </c>
      <c r="J61" s="15" t="s">
        <v>32</v>
      </c>
      <c r="K61" s="15"/>
      <c r="L61" s="15"/>
    </row>
    <row r="62" customFormat="false" ht="42" hidden="false" customHeight="true" outlineLevel="0" collapsed="false">
      <c r="A62" s="15" t="s">
        <v>1915</v>
      </c>
      <c r="B62" s="15" t="s">
        <v>1909</v>
      </c>
      <c r="C62" s="15" t="s">
        <v>1916</v>
      </c>
      <c r="D62" s="15" t="s">
        <v>1917</v>
      </c>
      <c r="E62" s="15" t="s">
        <v>1918</v>
      </c>
      <c r="F62" s="15" t="s">
        <v>1919</v>
      </c>
      <c r="G62" s="15" t="s">
        <v>1525</v>
      </c>
      <c r="H62" s="15" t="s">
        <v>1920</v>
      </c>
      <c r="I62" s="15" t="s">
        <v>26</v>
      </c>
      <c r="J62" s="15" t="s">
        <v>26</v>
      </c>
      <c r="K62" s="15" t="s">
        <v>1921</v>
      </c>
      <c r="L62" s="15"/>
    </row>
    <row r="63" customFormat="false" ht="42" hidden="false" customHeight="true" outlineLevel="0" collapsed="false">
      <c r="A63" s="15" t="s">
        <v>1922</v>
      </c>
      <c r="B63" s="15" t="s">
        <v>1909</v>
      </c>
      <c r="C63" s="15" t="s">
        <v>1917</v>
      </c>
      <c r="D63" s="15" t="s">
        <v>1923</v>
      </c>
      <c r="E63" s="15" t="s">
        <v>1924</v>
      </c>
      <c r="F63" s="15" t="s">
        <v>1925</v>
      </c>
      <c r="G63" s="15" t="s">
        <v>1525</v>
      </c>
      <c r="H63" s="15" t="s">
        <v>1926</v>
      </c>
      <c r="I63" s="15" t="s">
        <v>31</v>
      </c>
      <c r="J63" s="15" t="s">
        <v>31</v>
      </c>
      <c r="K63" s="15" t="s">
        <v>1927</v>
      </c>
      <c r="L63" s="15"/>
    </row>
    <row r="64" customFormat="false" ht="28.5" hidden="false" customHeight="true" outlineLevel="0" collapsed="false">
      <c r="A64" s="15" t="s">
        <v>1928</v>
      </c>
      <c r="B64" s="15" t="s">
        <v>1909</v>
      </c>
      <c r="C64" s="15" t="s">
        <v>1929</v>
      </c>
      <c r="D64" s="15" t="s">
        <v>1930</v>
      </c>
      <c r="E64" s="15" t="s">
        <v>1931</v>
      </c>
      <c r="F64" s="15" t="s">
        <v>1932</v>
      </c>
      <c r="G64" s="15" t="s">
        <v>1675</v>
      </c>
      <c r="H64" s="15" t="s">
        <v>1933</v>
      </c>
      <c r="I64" s="15" t="s">
        <v>28</v>
      </c>
      <c r="J64" s="15" t="s">
        <v>28</v>
      </c>
      <c r="K64" s="15"/>
      <c r="L64" s="15"/>
    </row>
    <row r="65" customFormat="false" ht="15.75" hidden="false" customHeight="true" outlineLevel="0" collapsed="false">
      <c r="A65" s="15" t="s">
        <v>1934</v>
      </c>
      <c r="B65" s="15" t="s">
        <v>1909</v>
      </c>
      <c r="C65" s="15" t="s">
        <v>1935</v>
      </c>
      <c r="D65" s="15" t="s">
        <v>1936</v>
      </c>
      <c r="E65" s="15" t="s">
        <v>1937</v>
      </c>
      <c r="F65" s="15" t="s">
        <v>1938</v>
      </c>
      <c r="G65" s="15" t="s">
        <v>1612</v>
      </c>
      <c r="H65" s="15" t="s">
        <v>1939</v>
      </c>
      <c r="I65" s="15" t="s">
        <v>32</v>
      </c>
      <c r="J65" s="15" t="s">
        <v>32</v>
      </c>
      <c r="K65" s="15" t="s">
        <v>1940</v>
      </c>
      <c r="L65" s="15"/>
    </row>
    <row r="66" customFormat="false" ht="15.75" hidden="false" customHeight="true" outlineLevel="0" collapsed="false">
      <c r="A66" s="15" t="s">
        <v>1941</v>
      </c>
      <c r="B66" s="15" t="s">
        <v>1848</v>
      </c>
      <c r="C66" s="15" t="s">
        <v>1942</v>
      </c>
      <c r="D66" s="15" t="s">
        <v>1943</v>
      </c>
      <c r="E66" s="15" t="s">
        <v>1944</v>
      </c>
      <c r="F66" s="15" t="s">
        <v>1945</v>
      </c>
      <c r="G66" s="15" t="s">
        <v>1612</v>
      </c>
      <c r="H66" s="15" t="s">
        <v>1946</v>
      </c>
      <c r="I66" s="15" t="s">
        <v>32</v>
      </c>
      <c r="J66" s="15" t="s">
        <v>32</v>
      </c>
      <c r="K66" s="15"/>
      <c r="L66" s="15"/>
    </row>
    <row r="67" customFormat="false" ht="42" hidden="false" customHeight="true" outlineLevel="0" collapsed="false">
      <c r="A67" s="15" t="s">
        <v>1947</v>
      </c>
      <c r="B67" s="15" t="s">
        <v>1948</v>
      </c>
      <c r="C67" s="15" t="s">
        <v>1949</v>
      </c>
      <c r="D67" s="15" t="s">
        <v>1950</v>
      </c>
      <c r="E67" s="15" t="s">
        <v>1951</v>
      </c>
      <c r="F67" s="15" t="s">
        <v>1952</v>
      </c>
      <c r="G67" s="15" t="s">
        <v>1612</v>
      </c>
      <c r="H67" s="15" t="s">
        <v>1953</v>
      </c>
      <c r="I67" s="15" t="s">
        <v>32</v>
      </c>
      <c r="J67" s="15" t="s">
        <v>32</v>
      </c>
      <c r="K67" s="15"/>
      <c r="L67" s="15"/>
    </row>
    <row r="68" customFormat="false" ht="42" hidden="false" customHeight="true" outlineLevel="0" collapsed="false">
      <c r="A68" s="15" t="s">
        <v>1954</v>
      </c>
      <c r="B68" s="15" t="s">
        <v>1948</v>
      </c>
      <c r="C68" s="15" t="s">
        <v>1955</v>
      </c>
      <c r="D68" s="15" t="s">
        <v>1950</v>
      </c>
      <c r="E68" s="15" t="s">
        <v>1956</v>
      </c>
      <c r="F68" s="15" t="s">
        <v>1957</v>
      </c>
      <c r="G68" s="15" t="s">
        <v>1696</v>
      </c>
      <c r="H68" s="15" t="s">
        <v>1958</v>
      </c>
      <c r="I68" s="15" t="s">
        <v>30</v>
      </c>
      <c r="J68" s="15" t="s">
        <v>30</v>
      </c>
      <c r="K68" s="15" t="s">
        <v>1959</v>
      </c>
      <c r="L68" s="15"/>
    </row>
    <row r="69" customFormat="false" ht="42" hidden="false" customHeight="true" outlineLevel="0" collapsed="false">
      <c r="A69" s="15" t="s">
        <v>1960</v>
      </c>
      <c r="B69" s="15" t="s">
        <v>1563</v>
      </c>
      <c r="C69" s="15" t="s">
        <v>1961</v>
      </c>
      <c r="D69" s="15" t="s">
        <v>1962</v>
      </c>
      <c r="E69" s="15" t="s">
        <v>1963</v>
      </c>
      <c r="F69" s="15" t="s">
        <v>1964</v>
      </c>
      <c r="G69" s="15" t="s">
        <v>1612</v>
      </c>
      <c r="H69" s="15" t="s">
        <v>1965</v>
      </c>
      <c r="I69" s="15" t="s">
        <v>32</v>
      </c>
      <c r="J69" s="15" t="s">
        <v>32</v>
      </c>
      <c r="K69" s="15" t="s">
        <v>1966</v>
      </c>
      <c r="L69" s="15"/>
    </row>
    <row r="70" customFormat="false" ht="54.75" hidden="false" customHeight="true" outlineLevel="0" collapsed="false">
      <c r="A70" s="15" t="s">
        <v>1967</v>
      </c>
      <c r="B70" s="15" t="s">
        <v>1635</v>
      </c>
      <c r="C70" s="15" t="s">
        <v>1968</v>
      </c>
      <c r="D70" s="15" t="s">
        <v>1969</v>
      </c>
      <c r="E70" s="15" t="s">
        <v>1970</v>
      </c>
      <c r="F70" s="15" t="s">
        <v>1971</v>
      </c>
      <c r="G70" s="15" t="s">
        <v>1612</v>
      </c>
      <c r="H70" s="15" t="s">
        <v>1972</v>
      </c>
      <c r="I70" s="15" t="s">
        <v>32</v>
      </c>
      <c r="J70" s="15" t="s">
        <v>28</v>
      </c>
      <c r="K70" s="15" t="s">
        <v>1973</v>
      </c>
      <c r="L70" s="15" t="s">
        <v>1974</v>
      </c>
    </row>
    <row r="71" customFormat="false" ht="42" hidden="false" customHeight="true" outlineLevel="0" collapsed="false">
      <c r="A71" s="15" t="s">
        <v>1975</v>
      </c>
      <c r="B71" s="15" t="s">
        <v>1635</v>
      </c>
      <c r="C71" s="15" t="s">
        <v>1976</v>
      </c>
      <c r="D71" s="15" t="s">
        <v>1977</v>
      </c>
      <c r="E71" s="15" t="s">
        <v>1978</v>
      </c>
      <c r="F71" s="15" t="s">
        <v>1979</v>
      </c>
      <c r="G71" s="15" t="s">
        <v>1612</v>
      </c>
      <c r="H71" s="15" t="s">
        <v>1980</v>
      </c>
      <c r="I71" s="15" t="s">
        <v>32</v>
      </c>
      <c r="J71" s="15" t="s">
        <v>28</v>
      </c>
      <c r="K71" s="15" t="s">
        <v>1981</v>
      </c>
      <c r="L71" s="15" t="s">
        <v>1982</v>
      </c>
    </row>
    <row r="72" customFormat="false" ht="28.5" hidden="false" customHeight="true" outlineLevel="0" collapsed="false">
      <c r="A72" s="15" t="s">
        <v>1983</v>
      </c>
      <c r="B72" s="15" t="s">
        <v>1948</v>
      </c>
      <c r="C72" s="15" t="s">
        <v>1984</v>
      </c>
      <c r="D72" s="15" t="s">
        <v>1985</v>
      </c>
      <c r="E72" s="15" t="s">
        <v>1986</v>
      </c>
      <c r="F72" s="15" t="s">
        <v>1987</v>
      </c>
      <c r="G72" s="15" t="s">
        <v>1612</v>
      </c>
      <c r="H72" s="15" t="s">
        <v>1988</v>
      </c>
      <c r="I72" s="15" t="s">
        <v>32</v>
      </c>
      <c r="J72" s="15" t="s">
        <v>32</v>
      </c>
      <c r="K72" s="15"/>
      <c r="L72" s="15"/>
    </row>
    <row r="73" customFormat="false" ht="81" hidden="false" customHeight="true" outlineLevel="0" collapsed="false">
      <c r="A73" s="15" t="s">
        <v>1989</v>
      </c>
      <c r="B73" s="15" t="s">
        <v>1520</v>
      </c>
      <c r="C73" s="15" t="s">
        <v>1990</v>
      </c>
      <c r="D73" s="15" t="s">
        <v>1991</v>
      </c>
      <c r="E73" s="15" t="s">
        <v>1992</v>
      </c>
      <c r="F73" s="15" t="s">
        <v>1993</v>
      </c>
      <c r="G73" s="15" t="s">
        <v>1994</v>
      </c>
      <c r="H73" s="15" t="s">
        <v>1995</v>
      </c>
      <c r="I73" s="15" t="s">
        <v>30</v>
      </c>
      <c r="J73" s="15" t="s">
        <v>30</v>
      </c>
      <c r="K73" s="15" t="s">
        <v>1996</v>
      </c>
      <c r="L73" s="15" t="s">
        <v>1997</v>
      </c>
    </row>
    <row r="74" customFormat="false" ht="54.75" hidden="false" customHeight="true" outlineLevel="0" collapsed="false">
      <c r="A74" s="15" t="s">
        <v>1998</v>
      </c>
      <c r="B74" s="15" t="s">
        <v>1520</v>
      </c>
      <c r="C74" s="15" t="s">
        <v>1999</v>
      </c>
      <c r="D74" s="15" t="s">
        <v>2000</v>
      </c>
      <c r="E74" s="15" t="s">
        <v>2001</v>
      </c>
      <c r="F74" s="15" t="s">
        <v>2002</v>
      </c>
      <c r="G74" s="15" t="s">
        <v>1510</v>
      </c>
      <c r="H74" s="15" t="s">
        <v>2003</v>
      </c>
      <c r="I74" s="15" t="s">
        <v>28</v>
      </c>
      <c r="J74" s="15" t="s">
        <v>28</v>
      </c>
      <c r="K74" s="15" t="s">
        <v>2004</v>
      </c>
      <c r="L74" s="15"/>
    </row>
    <row r="75" customFormat="false" ht="67.5" hidden="false" customHeight="true" outlineLevel="0" collapsed="false">
      <c r="A75" s="15" t="s">
        <v>2005</v>
      </c>
      <c r="B75" s="15" t="s">
        <v>1520</v>
      </c>
      <c r="C75" s="15" t="s">
        <v>2006</v>
      </c>
      <c r="D75" s="15" t="s">
        <v>2007</v>
      </c>
      <c r="E75" s="15" t="s">
        <v>2008</v>
      </c>
      <c r="F75" s="15" t="s">
        <v>2009</v>
      </c>
      <c r="G75" s="15" t="s">
        <v>1675</v>
      </c>
      <c r="H75" s="15" t="s">
        <v>2010</v>
      </c>
      <c r="I75" s="15" t="s">
        <v>28</v>
      </c>
      <c r="J75" s="15" t="s">
        <v>28</v>
      </c>
      <c r="K75" s="15" t="s">
        <v>2011</v>
      </c>
      <c r="L75" s="15"/>
    </row>
    <row r="76" customFormat="false" ht="28.5" hidden="false" customHeight="true" outlineLevel="0" collapsed="false">
      <c r="A76" s="15" t="s">
        <v>2012</v>
      </c>
      <c r="B76" s="15" t="s">
        <v>1635</v>
      </c>
      <c r="C76" s="15" t="s">
        <v>2013</v>
      </c>
      <c r="D76" s="15" t="s">
        <v>96</v>
      </c>
      <c r="E76" s="15" t="s">
        <v>2014</v>
      </c>
      <c r="F76" s="15" t="s">
        <v>2015</v>
      </c>
      <c r="G76" s="15" t="s">
        <v>1612</v>
      </c>
      <c r="H76" s="15" t="s">
        <v>2016</v>
      </c>
      <c r="I76" s="15" t="s">
        <v>32</v>
      </c>
      <c r="J76" s="15" t="s">
        <v>32</v>
      </c>
      <c r="K76" s="15"/>
      <c r="L76" s="15"/>
    </row>
    <row r="77" customFormat="false" ht="42" hidden="false" customHeight="true" outlineLevel="0" collapsed="false">
      <c r="A77" s="15" t="s">
        <v>2017</v>
      </c>
      <c r="B77" s="15" t="s">
        <v>1570</v>
      </c>
      <c r="C77" s="15" t="s">
        <v>2018</v>
      </c>
      <c r="D77" s="15" t="s">
        <v>2019</v>
      </c>
      <c r="E77" s="15" t="s">
        <v>2020</v>
      </c>
      <c r="F77" s="15" t="s">
        <v>2021</v>
      </c>
      <c r="G77" s="15" t="s">
        <v>1837</v>
      </c>
      <c r="H77" s="15" t="s">
        <v>2022</v>
      </c>
      <c r="I77" s="15" t="s">
        <v>30</v>
      </c>
      <c r="J77" s="15" t="s">
        <v>30</v>
      </c>
      <c r="K77" s="15" t="s">
        <v>2023</v>
      </c>
      <c r="L77" s="15"/>
    </row>
    <row r="78" customFormat="false" ht="42" hidden="false" customHeight="true" outlineLevel="0" collapsed="false">
      <c r="A78" s="15" t="s">
        <v>2024</v>
      </c>
      <c r="B78" s="15" t="s">
        <v>1570</v>
      </c>
      <c r="C78" s="15" t="s">
        <v>2025</v>
      </c>
      <c r="D78" s="15" t="s">
        <v>2026</v>
      </c>
      <c r="E78" s="15" t="s">
        <v>2027</v>
      </c>
      <c r="F78" s="15" t="s">
        <v>2028</v>
      </c>
      <c r="G78" s="15" t="s">
        <v>1612</v>
      </c>
      <c r="H78" s="15" t="s">
        <v>2029</v>
      </c>
      <c r="I78" s="15" t="s">
        <v>32</v>
      </c>
      <c r="J78" s="15" t="s">
        <v>28</v>
      </c>
      <c r="K78" s="15" t="s">
        <v>2030</v>
      </c>
      <c r="L78" s="15" t="s">
        <v>2031</v>
      </c>
    </row>
    <row r="79" customFormat="false" ht="15.75" hidden="false" customHeight="true" outlineLevel="0" collapsed="false">
      <c r="A79" s="15" t="s">
        <v>2032</v>
      </c>
      <c r="B79" s="15" t="s">
        <v>1593</v>
      </c>
      <c r="C79" s="15" t="s">
        <v>2033</v>
      </c>
      <c r="D79" s="15" t="s">
        <v>2034</v>
      </c>
      <c r="E79" s="15" t="s">
        <v>102</v>
      </c>
      <c r="F79" s="15" t="s">
        <v>2035</v>
      </c>
      <c r="G79" s="15" t="s">
        <v>1612</v>
      </c>
      <c r="H79" s="15" t="s">
        <v>2036</v>
      </c>
      <c r="I79" s="15" t="s">
        <v>32</v>
      </c>
      <c r="J79" s="15" t="s">
        <v>32</v>
      </c>
      <c r="K79" s="15"/>
      <c r="L79" s="15"/>
    </row>
    <row r="80" customFormat="false" ht="28.5" hidden="false" customHeight="true" outlineLevel="0" collapsed="false">
      <c r="A80" s="15" t="s">
        <v>2037</v>
      </c>
      <c r="B80" s="15" t="s">
        <v>1593</v>
      </c>
      <c r="C80" s="15" t="s">
        <v>2038</v>
      </c>
      <c r="D80" s="15" t="s">
        <v>2039</v>
      </c>
      <c r="E80" s="15" t="s">
        <v>2040</v>
      </c>
      <c r="F80" s="15" t="s">
        <v>2041</v>
      </c>
      <c r="G80" s="15" t="s">
        <v>1612</v>
      </c>
      <c r="H80" s="15" t="s">
        <v>2042</v>
      </c>
      <c r="I80" s="15" t="s">
        <v>32</v>
      </c>
      <c r="J80" s="15" t="s">
        <v>32</v>
      </c>
      <c r="K80" s="15" t="s">
        <v>2043</v>
      </c>
      <c r="L80" s="15"/>
    </row>
    <row r="81" customFormat="false" ht="15.75" hidden="false" customHeight="true" outlineLevel="0" collapsed="false">
      <c r="A81" s="15" t="s">
        <v>2044</v>
      </c>
      <c r="B81" s="15" t="s">
        <v>1593</v>
      </c>
      <c r="C81" s="15" t="s">
        <v>2045</v>
      </c>
      <c r="D81" s="15" t="s">
        <v>689</v>
      </c>
      <c r="E81" s="15" t="s">
        <v>2046</v>
      </c>
      <c r="F81" s="15" t="s">
        <v>2047</v>
      </c>
      <c r="G81" s="15" t="s">
        <v>1612</v>
      </c>
      <c r="H81" s="15" t="s">
        <v>2048</v>
      </c>
      <c r="I81" s="15" t="s">
        <v>32</v>
      </c>
      <c r="J81" s="15" t="s">
        <v>32</v>
      </c>
      <c r="K81" s="15"/>
      <c r="L81" s="15"/>
    </row>
    <row r="82" customFormat="false" ht="28.5" hidden="false" customHeight="true" outlineLevel="0" collapsed="false">
      <c r="A82" s="15" t="s">
        <v>2049</v>
      </c>
      <c r="B82" s="15" t="s">
        <v>1570</v>
      </c>
      <c r="C82" s="15" t="s">
        <v>2050</v>
      </c>
      <c r="D82" s="15" t="s">
        <v>2051</v>
      </c>
      <c r="E82" s="15" t="s">
        <v>2052</v>
      </c>
      <c r="F82" s="15" t="s">
        <v>2053</v>
      </c>
      <c r="G82" s="15" t="s">
        <v>1525</v>
      </c>
      <c r="H82" s="15" t="s">
        <v>2054</v>
      </c>
      <c r="I82" s="15" t="s">
        <v>26</v>
      </c>
      <c r="J82" s="15" t="s">
        <v>26</v>
      </c>
      <c r="K82" s="15"/>
      <c r="L82" s="15"/>
    </row>
    <row r="83" customFormat="false" ht="42" hidden="false" customHeight="true" outlineLevel="0" collapsed="false">
      <c r="A83" s="15" t="s">
        <v>2055</v>
      </c>
      <c r="B83" s="15" t="s">
        <v>1520</v>
      </c>
      <c r="C83" s="15" t="s">
        <v>2056</v>
      </c>
      <c r="D83" s="15" t="s">
        <v>1587</v>
      </c>
      <c r="E83" s="15" t="s">
        <v>2057</v>
      </c>
      <c r="F83" s="15" t="s">
        <v>2058</v>
      </c>
      <c r="G83" s="15" t="s">
        <v>1612</v>
      </c>
      <c r="H83" s="15" t="s">
        <v>2059</v>
      </c>
      <c r="I83" s="15" t="s">
        <v>32</v>
      </c>
      <c r="J83" s="15" t="s">
        <v>32</v>
      </c>
      <c r="K83" s="15" t="s">
        <v>2060</v>
      </c>
      <c r="L83" s="15"/>
    </row>
    <row r="84" customFormat="false" ht="42" hidden="false" customHeight="true" outlineLevel="0" collapsed="false">
      <c r="A84" s="15" t="s">
        <v>2061</v>
      </c>
      <c r="B84" s="15" t="s">
        <v>1570</v>
      </c>
      <c r="C84" s="15" t="s">
        <v>2062</v>
      </c>
      <c r="D84" s="15" t="s">
        <v>96</v>
      </c>
      <c r="E84" s="15" t="s">
        <v>2063</v>
      </c>
      <c r="F84" s="15" t="s">
        <v>2064</v>
      </c>
      <c r="G84" s="15" t="s">
        <v>1749</v>
      </c>
      <c r="H84" s="15" t="s">
        <v>2065</v>
      </c>
      <c r="I84" s="15" t="s">
        <v>32</v>
      </c>
      <c r="J84" s="15" t="s">
        <v>30</v>
      </c>
      <c r="K84" s="15" t="s">
        <v>2066</v>
      </c>
      <c r="L84" s="15" t="s">
        <v>2067</v>
      </c>
    </row>
    <row r="85" customFormat="false" ht="81" hidden="false" customHeight="true" outlineLevel="0" collapsed="false">
      <c r="A85" s="15" t="s">
        <v>2068</v>
      </c>
      <c r="B85" s="15" t="s">
        <v>1505</v>
      </c>
      <c r="C85" s="15" t="s">
        <v>2069</v>
      </c>
      <c r="D85" s="15" t="s">
        <v>2070</v>
      </c>
      <c r="E85" s="15" t="s">
        <v>2071</v>
      </c>
      <c r="F85" s="15" t="s">
        <v>2072</v>
      </c>
      <c r="G85" s="15" t="s">
        <v>1510</v>
      </c>
      <c r="H85" s="15" t="s">
        <v>2073</v>
      </c>
      <c r="I85" s="15" t="s">
        <v>30</v>
      </c>
      <c r="J85" s="15" t="s">
        <v>30</v>
      </c>
      <c r="K85" s="15" t="s">
        <v>2074</v>
      </c>
      <c r="L85" s="15" t="s">
        <v>2075</v>
      </c>
    </row>
    <row r="86" customFormat="false" ht="132.75" hidden="false" customHeight="true" outlineLevel="0" collapsed="false">
      <c r="A86" s="15" t="s">
        <v>2076</v>
      </c>
      <c r="B86" s="15" t="s">
        <v>1505</v>
      </c>
      <c r="C86" s="15" t="s">
        <v>2077</v>
      </c>
      <c r="D86" s="15" t="s">
        <v>2078</v>
      </c>
      <c r="E86" s="15" t="s">
        <v>2079</v>
      </c>
      <c r="F86" s="15" t="s">
        <v>2080</v>
      </c>
      <c r="G86" s="15" t="s">
        <v>2081</v>
      </c>
      <c r="H86" s="15" t="s">
        <v>2082</v>
      </c>
      <c r="I86" s="15" t="s">
        <v>30</v>
      </c>
      <c r="J86" s="15" t="s">
        <v>30</v>
      </c>
      <c r="K86" s="15" t="s">
        <v>2083</v>
      </c>
      <c r="L86" s="15" t="s">
        <v>2084</v>
      </c>
    </row>
    <row r="87" customFormat="false" ht="54.75" hidden="false" customHeight="true" outlineLevel="0" collapsed="false">
      <c r="A87" s="15" t="s">
        <v>2085</v>
      </c>
      <c r="B87" s="15" t="s">
        <v>1563</v>
      </c>
      <c r="C87" s="15" t="s">
        <v>2086</v>
      </c>
      <c r="D87" s="15" t="s">
        <v>2087</v>
      </c>
      <c r="E87" s="15" t="s">
        <v>2088</v>
      </c>
      <c r="F87" s="15" t="s">
        <v>2089</v>
      </c>
      <c r="G87" s="15" t="s">
        <v>1510</v>
      </c>
      <c r="H87" s="15" t="s">
        <v>2090</v>
      </c>
      <c r="I87" s="15" t="s">
        <v>30</v>
      </c>
      <c r="J87" s="15" t="s">
        <v>28</v>
      </c>
      <c r="K87" s="15" t="s">
        <v>2091</v>
      </c>
      <c r="L87" s="15" t="s">
        <v>2092</v>
      </c>
    </row>
    <row r="88" customFormat="false" ht="42" hidden="false" customHeight="true" outlineLevel="0" collapsed="false">
      <c r="A88" s="15" t="s">
        <v>2093</v>
      </c>
      <c r="B88" s="15" t="s">
        <v>1505</v>
      </c>
      <c r="C88" s="15" t="s">
        <v>2094</v>
      </c>
      <c r="D88" s="15" t="s">
        <v>2095</v>
      </c>
      <c r="E88" s="15" t="s">
        <v>2096</v>
      </c>
      <c r="F88" s="15" t="s">
        <v>2097</v>
      </c>
      <c r="G88" s="15" t="s">
        <v>2098</v>
      </c>
      <c r="H88" s="15" t="s">
        <v>2099</v>
      </c>
      <c r="I88" s="15" t="s">
        <v>30</v>
      </c>
      <c r="J88" s="15" t="s">
        <v>28</v>
      </c>
      <c r="K88" s="15" t="s">
        <v>2100</v>
      </c>
      <c r="L88" s="15" t="s">
        <v>2101</v>
      </c>
    </row>
    <row r="89" customFormat="false" ht="81" hidden="false" customHeight="true" outlineLevel="0" collapsed="false">
      <c r="A89" s="15" t="s">
        <v>2102</v>
      </c>
      <c r="B89" s="15" t="s">
        <v>1650</v>
      </c>
      <c r="C89" s="15" t="s">
        <v>2103</v>
      </c>
      <c r="D89" s="15" t="s">
        <v>2104</v>
      </c>
      <c r="E89" s="15" t="s">
        <v>2105</v>
      </c>
      <c r="F89" s="15" t="s">
        <v>2106</v>
      </c>
      <c r="G89" s="15" t="s">
        <v>1675</v>
      </c>
      <c r="H89" s="15" t="s">
        <v>2107</v>
      </c>
      <c r="I89" s="15" t="s">
        <v>30</v>
      </c>
      <c r="J89" s="15" t="s">
        <v>30</v>
      </c>
      <c r="K89" s="15" t="s">
        <v>2108</v>
      </c>
      <c r="L89" s="15" t="s">
        <v>2109</v>
      </c>
    </row>
    <row r="90" customFormat="false" ht="54.75" hidden="false" customHeight="true" outlineLevel="0" collapsed="false">
      <c r="A90" s="15" t="s">
        <v>2110</v>
      </c>
      <c r="B90" s="15" t="s">
        <v>1520</v>
      </c>
      <c r="C90" s="15" t="s">
        <v>2111</v>
      </c>
      <c r="D90" s="15" t="s">
        <v>2112</v>
      </c>
      <c r="E90" s="15" t="s">
        <v>2113</v>
      </c>
      <c r="F90" s="15" t="s">
        <v>2114</v>
      </c>
      <c r="G90" s="15" t="s">
        <v>1675</v>
      </c>
      <c r="H90" s="15" t="s">
        <v>2115</v>
      </c>
      <c r="I90" s="15" t="s">
        <v>28</v>
      </c>
      <c r="J90" s="15" t="s">
        <v>28</v>
      </c>
      <c r="K90" s="15" t="s">
        <v>2116</v>
      </c>
      <c r="L90" s="15"/>
    </row>
    <row r="91" customFormat="false" ht="42" hidden="false" customHeight="true" outlineLevel="0" collapsed="false">
      <c r="A91" s="15" t="s">
        <v>2117</v>
      </c>
      <c r="B91" s="15" t="s">
        <v>1505</v>
      </c>
      <c r="C91" s="15" t="s">
        <v>2118</v>
      </c>
      <c r="D91" s="15" t="s">
        <v>2119</v>
      </c>
      <c r="E91" s="15" t="s">
        <v>2120</v>
      </c>
      <c r="F91" s="15" t="s">
        <v>2121</v>
      </c>
      <c r="G91" s="15" t="s">
        <v>1675</v>
      </c>
      <c r="H91" s="15" t="s">
        <v>2122</v>
      </c>
      <c r="I91" s="15" t="s">
        <v>28</v>
      </c>
      <c r="J91" s="15" t="s">
        <v>28</v>
      </c>
      <c r="K91" s="15" t="s">
        <v>2123</v>
      </c>
      <c r="L91" s="15"/>
    </row>
    <row r="92" customFormat="false" ht="54.75" hidden="false" customHeight="true" outlineLevel="0" collapsed="false">
      <c r="A92" s="15" t="s">
        <v>2124</v>
      </c>
      <c r="B92" s="15" t="s">
        <v>1505</v>
      </c>
      <c r="C92" s="15" t="s">
        <v>2125</v>
      </c>
      <c r="D92" s="15" t="s">
        <v>2126</v>
      </c>
      <c r="E92" s="15" t="s">
        <v>2127</v>
      </c>
      <c r="F92" s="15" t="s">
        <v>2128</v>
      </c>
      <c r="G92" s="15" t="s">
        <v>1510</v>
      </c>
      <c r="H92" s="15" t="s">
        <v>2129</v>
      </c>
      <c r="I92" s="15" t="s">
        <v>28</v>
      </c>
      <c r="J92" s="15" t="s">
        <v>28</v>
      </c>
      <c r="K92" s="15" t="s">
        <v>2130</v>
      </c>
      <c r="L92" s="15"/>
    </row>
  </sheetData>
  <autoFilter ref="A4:L92"/>
  <conditionalFormatting sqref="I5:I92">
    <cfRule type="expression" priority="2" aboveAverage="0" equalAverage="0" bottom="0" percent="0" rank="0" text="" dxfId="14">
      <formula>ISNUMBER(SEARCH("Broken",I5))</formula>
    </cfRule>
    <cfRule type="expression" priority="3" aboveAverage="0" equalAverage="0" bottom="0" percent="0" rank="0" text="" dxfId="21">
      <formula>ISNUMBER(SEARCH("Missing",I5))</formula>
    </cfRule>
    <cfRule type="expression" priority="4" aboveAverage="0" equalAverage="0" bottom="0" percent="0" rank="0" text="" dxfId="15">
      <formula>ISNUMBER(SEARCH("Partial",I5))</formula>
    </cfRule>
    <cfRule type="expression" priority="5" aboveAverage="0" equalAverage="0" bottom="0" percent="0" rank="0" text="" dxfId="20">
      <formula>ISNUMBER(SEARCH("Needs check",I5))</formula>
    </cfRule>
    <cfRule type="expression" priority="6" aboveAverage="0" equalAverage="0" bottom="0" percent="0" rank="0" text="" dxfId="6">
      <formula>ISNUMBER(SEARCH("Working",I5))</formula>
    </cfRule>
    <cfRule type="expression" priority="7" aboveAverage="0" equalAverage="0" bottom="0" percent="0" rank="0" text="" dxfId="18">
      <formula>ISNUMBER(SEARCH("Not needed",I5))</formula>
    </cfRule>
  </conditionalFormatting>
  <conditionalFormatting sqref="J5:J92">
    <cfRule type="expression" priority="8" aboveAverage="0" equalAverage="0" bottom="0" percent="0" rank="0" text="" dxfId="14">
      <formula>ISNUMBER(SEARCH("Broken",J5))</formula>
    </cfRule>
    <cfRule type="expression" priority="9" aboveAverage="0" equalAverage="0" bottom="0" percent="0" rank="0" text="" dxfId="21">
      <formula>ISNUMBER(SEARCH("Missing",J5))</formula>
    </cfRule>
    <cfRule type="expression" priority="10" aboveAverage="0" equalAverage="0" bottom="0" percent="0" rank="0" text="" dxfId="15">
      <formula>ISNUMBER(SEARCH("Partial",J5))</formula>
    </cfRule>
    <cfRule type="expression" priority="11" aboveAverage="0" equalAverage="0" bottom="0" percent="0" rank="0" text="" dxfId="20">
      <formula>ISNUMBER(SEARCH("Needs check",J5))</formula>
    </cfRule>
    <cfRule type="expression" priority="12" aboveAverage="0" equalAverage="0" bottom="0" percent="0" rank="0" text="" dxfId="6">
      <formula>ISNUMBER(SEARCH("Working",J5))</formula>
    </cfRule>
    <cfRule type="expression" priority="13" aboveAverage="0" equalAverage="0" bottom="0" percent="0" rank="0" text="" dxfId="18">
      <formula>ISNUMBER(SEARCH("Not needed",J5))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59E0B"/>
    <pageSetUpPr fitToPage="false"/>
  </sheetPr>
  <dimension ref="A1:I36"/>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0"/>
    <col collapsed="false" customWidth="true" hidden="false" outlineLevel="0" max="3" min="3" style="0" width="70"/>
    <col collapsed="false" customWidth="true" hidden="false" outlineLevel="0" max="4" min="4" style="0" width="36"/>
    <col collapsed="false" customWidth="true" hidden="false" outlineLevel="0" max="5" min="5" style="0" width="44"/>
    <col collapsed="false" customWidth="true" hidden="false" outlineLevel="0" max="6" min="6" style="0" width="10"/>
    <col collapsed="false" customWidth="true" hidden="false" outlineLevel="0" max="7" min="7" style="0" width="9"/>
    <col collapsed="false" customWidth="true" hidden="false" outlineLevel="0" max="8" min="8" style="0" width="14"/>
    <col collapsed="false" customWidth="true" hidden="false" outlineLevel="0" max="9" min="9" style="0" width="50"/>
  </cols>
  <sheetData>
    <row r="1" customFormat="false" ht="19.7" hidden="false" customHeight="false" outlineLevel="0" collapsed="false">
      <c r="A1" s="1" t="s">
        <v>2131</v>
      </c>
    </row>
    <row r="2" customFormat="false" ht="15" hidden="false" customHeight="false" outlineLevel="0" collapsed="false">
      <c r="A2" s="11" t="s">
        <v>2132</v>
      </c>
    </row>
    <row r="4" customFormat="false" ht="27.75" hidden="false" customHeight="true" outlineLevel="0" collapsed="false">
      <c r="A4" s="14" t="s">
        <v>2133</v>
      </c>
      <c r="B4" s="14" t="s">
        <v>2134</v>
      </c>
      <c r="C4" s="14" t="s">
        <v>2135</v>
      </c>
      <c r="D4" s="14" t="s">
        <v>2136</v>
      </c>
      <c r="E4" s="14" t="s">
        <v>2137</v>
      </c>
      <c r="F4" s="14" t="s">
        <v>2138</v>
      </c>
      <c r="G4" s="14" t="s">
        <v>2139</v>
      </c>
      <c r="H4" s="14" t="s">
        <v>2140</v>
      </c>
      <c r="I4" s="14" t="s">
        <v>2141</v>
      </c>
    </row>
    <row r="5" customFormat="false" ht="54.75" hidden="false" customHeight="true" outlineLevel="0" collapsed="false">
      <c r="A5" s="15" t="s">
        <v>2142</v>
      </c>
      <c r="B5" s="15" t="s">
        <v>2143</v>
      </c>
      <c r="C5" s="15" t="s">
        <v>2144</v>
      </c>
      <c r="D5" s="15" t="s">
        <v>2145</v>
      </c>
      <c r="E5" s="15" t="s">
        <v>2146</v>
      </c>
      <c r="F5" s="15" t="s">
        <v>2147</v>
      </c>
      <c r="G5" s="15" t="s">
        <v>2148</v>
      </c>
      <c r="H5" s="15" t="s">
        <v>2149</v>
      </c>
      <c r="I5" s="15" t="s">
        <v>2150</v>
      </c>
    </row>
    <row r="6" customFormat="false" ht="28.5" hidden="false" customHeight="true" outlineLevel="0" collapsed="false">
      <c r="A6" s="15" t="s">
        <v>2151</v>
      </c>
      <c r="B6" s="15" t="s">
        <v>2152</v>
      </c>
      <c r="C6" s="15" t="s">
        <v>2153</v>
      </c>
      <c r="D6" s="15" t="s">
        <v>2154</v>
      </c>
      <c r="E6" s="15" t="s">
        <v>2155</v>
      </c>
      <c r="F6" s="15" t="s">
        <v>2147</v>
      </c>
      <c r="G6" s="15" t="s">
        <v>2148</v>
      </c>
      <c r="H6" s="15" t="s">
        <v>2149</v>
      </c>
      <c r="I6" s="15"/>
    </row>
    <row r="7" customFormat="false" ht="42" hidden="false" customHeight="true" outlineLevel="0" collapsed="false">
      <c r="A7" s="15" t="s">
        <v>2156</v>
      </c>
      <c r="B7" s="15" t="s">
        <v>2157</v>
      </c>
      <c r="C7" s="15" t="s">
        <v>2158</v>
      </c>
      <c r="D7" s="15" t="s">
        <v>2159</v>
      </c>
      <c r="E7" s="15" t="s">
        <v>2160</v>
      </c>
      <c r="F7" s="15" t="s">
        <v>2147</v>
      </c>
      <c r="G7" s="15" t="s">
        <v>2148</v>
      </c>
      <c r="H7" s="15" t="s">
        <v>2149</v>
      </c>
      <c r="I7" s="15"/>
    </row>
    <row r="8" customFormat="false" ht="42" hidden="false" customHeight="true" outlineLevel="0" collapsed="false">
      <c r="A8" s="15" t="s">
        <v>2161</v>
      </c>
      <c r="B8" s="15" t="s">
        <v>2162</v>
      </c>
      <c r="C8" s="15" t="s">
        <v>2163</v>
      </c>
      <c r="D8" s="15" t="s">
        <v>2164</v>
      </c>
      <c r="E8" s="15" t="s">
        <v>2165</v>
      </c>
      <c r="F8" s="15" t="s">
        <v>2166</v>
      </c>
      <c r="G8" s="15" t="s">
        <v>2148</v>
      </c>
      <c r="H8" s="15" t="s">
        <v>1418</v>
      </c>
      <c r="I8" s="15"/>
    </row>
    <row r="9" customFormat="false" ht="28.5" hidden="false" customHeight="true" outlineLevel="0" collapsed="false">
      <c r="A9" s="15" t="s">
        <v>2167</v>
      </c>
      <c r="B9" s="15" t="s">
        <v>2168</v>
      </c>
      <c r="C9" s="15" t="s">
        <v>2169</v>
      </c>
      <c r="D9" s="15" t="s">
        <v>2170</v>
      </c>
      <c r="E9" s="15" t="s">
        <v>2171</v>
      </c>
      <c r="F9" s="15" t="s">
        <v>2166</v>
      </c>
      <c r="G9" s="15" t="s">
        <v>2148</v>
      </c>
      <c r="H9" s="15" t="s">
        <v>1418</v>
      </c>
      <c r="I9" s="15"/>
    </row>
    <row r="10" customFormat="false" ht="54.75" hidden="false" customHeight="true" outlineLevel="0" collapsed="false">
      <c r="A10" s="15" t="s">
        <v>2172</v>
      </c>
      <c r="B10" s="15" t="s">
        <v>2173</v>
      </c>
      <c r="C10" s="15" t="s">
        <v>2174</v>
      </c>
      <c r="D10" s="15" t="s">
        <v>2175</v>
      </c>
      <c r="E10" s="15" t="s">
        <v>2176</v>
      </c>
      <c r="F10" s="15" t="s">
        <v>2166</v>
      </c>
      <c r="G10" s="15" t="s">
        <v>2148</v>
      </c>
      <c r="H10" s="15" t="s">
        <v>2149</v>
      </c>
      <c r="I10" s="15"/>
    </row>
    <row r="11" customFormat="false" ht="28.5" hidden="false" customHeight="true" outlineLevel="0" collapsed="false">
      <c r="A11" s="15" t="s">
        <v>2177</v>
      </c>
      <c r="B11" s="15" t="s">
        <v>2178</v>
      </c>
      <c r="C11" s="15" t="s">
        <v>2179</v>
      </c>
      <c r="D11" s="15" t="s">
        <v>2180</v>
      </c>
      <c r="E11" s="15" t="s">
        <v>2181</v>
      </c>
      <c r="F11" s="15" t="s">
        <v>2147</v>
      </c>
      <c r="G11" s="15" t="s">
        <v>2148</v>
      </c>
      <c r="H11" s="15" t="s">
        <v>1418</v>
      </c>
      <c r="I11" s="15"/>
    </row>
    <row r="12" customFormat="false" ht="28.5" hidden="false" customHeight="true" outlineLevel="0" collapsed="false">
      <c r="A12" s="15" t="s">
        <v>2182</v>
      </c>
      <c r="B12" s="15" t="s">
        <v>2183</v>
      </c>
      <c r="C12" s="15" t="s">
        <v>2184</v>
      </c>
      <c r="D12" s="15" t="s">
        <v>2185</v>
      </c>
      <c r="E12" s="15" t="s">
        <v>2186</v>
      </c>
      <c r="F12" s="15" t="s">
        <v>2166</v>
      </c>
      <c r="G12" s="15" t="s">
        <v>2148</v>
      </c>
      <c r="H12" s="15" t="s">
        <v>1418</v>
      </c>
      <c r="I12" s="15"/>
    </row>
    <row r="13" customFormat="false" ht="42" hidden="false" customHeight="true" outlineLevel="0" collapsed="false">
      <c r="A13" s="15" t="s">
        <v>2187</v>
      </c>
      <c r="B13" s="15" t="s">
        <v>2188</v>
      </c>
      <c r="C13" s="15" t="s">
        <v>2189</v>
      </c>
      <c r="D13" s="15" t="s">
        <v>2190</v>
      </c>
      <c r="E13" s="15" t="s">
        <v>2191</v>
      </c>
      <c r="F13" s="15" t="s">
        <v>2192</v>
      </c>
      <c r="G13" s="15" t="s">
        <v>2148</v>
      </c>
      <c r="H13" s="15" t="s">
        <v>1418</v>
      </c>
      <c r="I13" s="15"/>
    </row>
    <row r="14" customFormat="false" ht="28.5" hidden="false" customHeight="true" outlineLevel="0" collapsed="false">
      <c r="A14" s="15" t="s">
        <v>2193</v>
      </c>
      <c r="B14" s="15" t="s">
        <v>2194</v>
      </c>
      <c r="C14" s="15" t="s">
        <v>2195</v>
      </c>
      <c r="D14" s="15" t="s">
        <v>2196</v>
      </c>
      <c r="E14" s="15" t="s">
        <v>2197</v>
      </c>
      <c r="F14" s="15" t="s">
        <v>2147</v>
      </c>
      <c r="G14" s="15" t="s">
        <v>2148</v>
      </c>
      <c r="H14" s="15" t="s">
        <v>2149</v>
      </c>
      <c r="I14" s="15"/>
    </row>
    <row r="15" customFormat="false" ht="42" hidden="false" customHeight="true" outlineLevel="0" collapsed="false">
      <c r="A15" s="15" t="s">
        <v>2198</v>
      </c>
      <c r="B15" s="15" t="s">
        <v>2199</v>
      </c>
      <c r="C15" s="15" t="s">
        <v>2200</v>
      </c>
      <c r="D15" s="15" t="s">
        <v>2201</v>
      </c>
      <c r="E15" s="15" t="s">
        <v>2202</v>
      </c>
      <c r="F15" s="15" t="s">
        <v>2166</v>
      </c>
      <c r="G15" s="15" t="s">
        <v>2148</v>
      </c>
      <c r="H15" s="15" t="s">
        <v>1418</v>
      </c>
      <c r="I15" s="15"/>
    </row>
    <row r="16" customFormat="false" ht="42" hidden="false" customHeight="true" outlineLevel="0" collapsed="false">
      <c r="A16" s="15" t="s">
        <v>2203</v>
      </c>
      <c r="B16" s="15" t="s">
        <v>2204</v>
      </c>
      <c r="C16" s="15" t="s">
        <v>2205</v>
      </c>
      <c r="D16" s="15" t="s">
        <v>2206</v>
      </c>
      <c r="E16" s="15" t="s">
        <v>2207</v>
      </c>
      <c r="F16" s="15" t="s">
        <v>2166</v>
      </c>
      <c r="G16" s="15" t="s">
        <v>2148</v>
      </c>
      <c r="H16" s="15" t="s">
        <v>1418</v>
      </c>
      <c r="I16" s="15"/>
    </row>
    <row r="17" customFormat="false" ht="42" hidden="false" customHeight="true" outlineLevel="0" collapsed="false">
      <c r="A17" s="15" t="s">
        <v>2208</v>
      </c>
      <c r="B17" s="15" t="s">
        <v>2209</v>
      </c>
      <c r="C17" s="15" t="s">
        <v>2210</v>
      </c>
      <c r="D17" s="15" t="s">
        <v>2211</v>
      </c>
      <c r="E17" s="15" t="s">
        <v>2212</v>
      </c>
      <c r="F17" s="15" t="s">
        <v>2166</v>
      </c>
      <c r="G17" s="15" t="s">
        <v>2148</v>
      </c>
      <c r="H17" s="15" t="s">
        <v>1441</v>
      </c>
      <c r="I17" s="15"/>
    </row>
    <row r="18" customFormat="false" ht="42" hidden="false" customHeight="true" outlineLevel="0" collapsed="false">
      <c r="A18" s="15" t="s">
        <v>2213</v>
      </c>
      <c r="B18" s="15" t="s">
        <v>2214</v>
      </c>
      <c r="C18" s="15" t="s">
        <v>2215</v>
      </c>
      <c r="D18" s="15" t="s">
        <v>2216</v>
      </c>
      <c r="E18" s="15" t="s">
        <v>2217</v>
      </c>
      <c r="F18" s="15" t="s">
        <v>2192</v>
      </c>
      <c r="G18" s="15" t="s">
        <v>2148</v>
      </c>
      <c r="H18" s="15" t="s">
        <v>1441</v>
      </c>
      <c r="I18" s="15"/>
    </row>
    <row r="19" customFormat="false" ht="42" hidden="false" customHeight="true" outlineLevel="0" collapsed="false">
      <c r="A19" s="15" t="s">
        <v>2218</v>
      </c>
      <c r="B19" s="15" t="s">
        <v>2219</v>
      </c>
      <c r="C19" s="15" t="s">
        <v>2220</v>
      </c>
      <c r="D19" s="15" t="s">
        <v>2221</v>
      </c>
      <c r="E19" s="15" t="s">
        <v>2222</v>
      </c>
      <c r="F19" s="15" t="s">
        <v>2192</v>
      </c>
      <c r="G19" s="15" t="s">
        <v>2148</v>
      </c>
      <c r="H19" s="15" t="s">
        <v>1418</v>
      </c>
      <c r="I19" s="15"/>
    </row>
    <row r="20" customFormat="false" ht="42" hidden="false" customHeight="true" outlineLevel="0" collapsed="false">
      <c r="A20" s="15" t="s">
        <v>2223</v>
      </c>
      <c r="B20" s="15" t="s">
        <v>2224</v>
      </c>
      <c r="C20" s="15" t="s">
        <v>2225</v>
      </c>
      <c r="D20" s="15" t="s">
        <v>2226</v>
      </c>
      <c r="E20" s="15" t="s">
        <v>2227</v>
      </c>
      <c r="F20" s="15" t="s">
        <v>2166</v>
      </c>
      <c r="G20" s="15" t="s">
        <v>2148</v>
      </c>
      <c r="H20" s="15" t="s">
        <v>1418</v>
      </c>
      <c r="I20" s="15"/>
    </row>
    <row r="21" customFormat="false" ht="28.5" hidden="false" customHeight="true" outlineLevel="0" collapsed="false">
      <c r="A21" s="15" t="s">
        <v>2228</v>
      </c>
      <c r="B21" s="15" t="s">
        <v>2229</v>
      </c>
      <c r="C21" s="15" t="s">
        <v>2230</v>
      </c>
      <c r="D21" s="15" t="s">
        <v>2231</v>
      </c>
      <c r="E21" s="15" t="s">
        <v>2232</v>
      </c>
      <c r="F21" s="15" t="s">
        <v>2166</v>
      </c>
      <c r="G21" s="15" t="s">
        <v>2148</v>
      </c>
      <c r="H21" s="15" t="s">
        <v>1418</v>
      </c>
      <c r="I21" s="15"/>
    </row>
    <row r="22" customFormat="false" ht="28.5" hidden="false" customHeight="true" outlineLevel="0" collapsed="false">
      <c r="A22" s="15" t="s">
        <v>2233</v>
      </c>
      <c r="B22" s="15" t="s">
        <v>2234</v>
      </c>
      <c r="C22" s="15" t="s">
        <v>2235</v>
      </c>
      <c r="D22" s="15" t="s">
        <v>2236</v>
      </c>
      <c r="E22" s="15" t="s">
        <v>2237</v>
      </c>
      <c r="F22" s="15" t="s">
        <v>2238</v>
      </c>
      <c r="G22" s="15" t="s">
        <v>2148</v>
      </c>
      <c r="H22" s="15" t="s">
        <v>1441</v>
      </c>
      <c r="I22" s="15"/>
    </row>
    <row r="23" customFormat="false" ht="42" hidden="false" customHeight="true" outlineLevel="0" collapsed="false">
      <c r="A23" s="15" t="s">
        <v>2239</v>
      </c>
      <c r="B23" s="15" t="s">
        <v>2240</v>
      </c>
      <c r="C23" s="15" t="s">
        <v>2241</v>
      </c>
      <c r="D23" s="15" t="s">
        <v>2242</v>
      </c>
      <c r="E23" s="15" t="s">
        <v>2243</v>
      </c>
      <c r="F23" s="15" t="s">
        <v>2147</v>
      </c>
      <c r="G23" s="15" t="s">
        <v>2148</v>
      </c>
      <c r="H23" s="15" t="s">
        <v>2149</v>
      </c>
      <c r="I23" s="15" t="s">
        <v>2244</v>
      </c>
    </row>
    <row r="24" customFormat="false" ht="28.5" hidden="false" customHeight="true" outlineLevel="0" collapsed="false">
      <c r="A24" s="15" t="s">
        <v>2245</v>
      </c>
      <c r="B24" s="15" t="s">
        <v>2246</v>
      </c>
      <c r="C24" s="15" t="s">
        <v>2247</v>
      </c>
      <c r="D24" s="15" t="s">
        <v>2248</v>
      </c>
      <c r="E24" s="15" t="s">
        <v>2249</v>
      </c>
      <c r="F24" s="15" t="s">
        <v>2147</v>
      </c>
      <c r="G24" s="15" t="s">
        <v>2148</v>
      </c>
      <c r="H24" s="15" t="s">
        <v>1441</v>
      </c>
      <c r="I24" s="15"/>
    </row>
    <row r="25" customFormat="false" ht="42" hidden="false" customHeight="true" outlineLevel="0" collapsed="false">
      <c r="A25" s="15" t="s">
        <v>2250</v>
      </c>
      <c r="B25" s="15" t="s">
        <v>2251</v>
      </c>
      <c r="C25" s="15" t="s">
        <v>2252</v>
      </c>
      <c r="D25" s="15" t="s">
        <v>2253</v>
      </c>
      <c r="E25" s="15" t="s">
        <v>2254</v>
      </c>
      <c r="F25" s="15" t="s">
        <v>2147</v>
      </c>
      <c r="G25" s="15" t="s">
        <v>2148</v>
      </c>
      <c r="H25" s="15" t="s">
        <v>2149</v>
      </c>
      <c r="I25" s="15"/>
    </row>
    <row r="26" customFormat="false" ht="28.5" hidden="false" customHeight="true" outlineLevel="0" collapsed="false">
      <c r="A26" s="15" t="s">
        <v>2255</v>
      </c>
      <c r="B26" s="15" t="s">
        <v>2256</v>
      </c>
      <c r="C26" s="15" t="s">
        <v>2257</v>
      </c>
      <c r="D26" s="15" t="s">
        <v>2258</v>
      </c>
      <c r="E26" s="15" t="s">
        <v>2259</v>
      </c>
      <c r="F26" s="15" t="s">
        <v>2147</v>
      </c>
      <c r="G26" s="15" t="s">
        <v>2148</v>
      </c>
      <c r="H26" s="15" t="s">
        <v>2149</v>
      </c>
      <c r="I26" s="15"/>
    </row>
    <row r="27" customFormat="false" ht="93.75" hidden="false" customHeight="true" outlineLevel="0" collapsed="false">
      <c r="A27" s="15" t="s">
        <v>2260</v>
      </c>
      <c r="B27" s="15" t="s">
        <v>2261</v>
      </c>
      <c r="C27" s="15" t="s">
        <v>2262</v>
      </c>
      <c r="D27" s="15" t="s">
        <v>2263</v>
      </c>
      <c r="E27" s="15" t="s">
        <v>2264</v>
      </c>
      <c r="F27" s="15" t="s">
        <v>2166</v>
      </c>
      <c r="G27" s="15" t="s">
        <v>2265</v>
      </c>
      <c r="H27" s="15" t="s">
        <v>1441</v>
      </c>
      <c r="I27" s="15" t="s">
        <v>2266</v>
      </c>
    </row>
    <row r="28" customFormat="false" ht="28.5" hidden="false" customHeight="true" outlineLevel="0" collapsed="false">
      <c r="A28" s="15" t="s">
        <v>2267</v>
      </c>
      <c r="B28" s="15" t="s">
        <v>2268</v>
      </c>
      <c r="C28" s="15" t="s">
        <v>2269</v>
      </c>
      <c r="D28" s="15" t="s">
        <v>2270</v>
      </c>
      <c r="E28" s="15" t="s">
        <v>2271</v>
      </c>
      <c r="F28" s="15" t="s">
        <v>2166</v>
      </c>
      <c r="G28" s="15" t="s">
        <v>2148</v>
      </c>
      <c r="H28" s="15" t="s">
        <v>2149</v>
      </c>
      <c r="I28" s="15" t="s">
        <v>2272</v>
      </c>
    </row>
    <row r="29" customFormat="false" ht="42" hidden="false" customHeight="true" outlineLevel="0" collapsed="false">
      <c r="A29" s="15" t="s">
        <v>2273</v>
      </c>
      <c r="B29" s="15" t="s">
        <v>2274</v>
      </c>
      <c r="C29" s="15" t="s">
        <v>2275</v>
      </c>
      <c r="D29" s="15" t="s">
        <v>2276</v>
      </c>
      <c r="E29" s="15" t="s">
        <v>2277</v>
      </c>
      <c r="F29" s="15" t="s">
        <v>2147</v>
      </c>
      <c r="G29" s="15" t="s">
        <v>2148</v>
      </c>
      <c r="H29" s="15" t="s">
        <v>1418</v>
      </c>
      <c r="I29" s="15"/>
    </row>
    <row r="30" customFormat="false" ht="42" hidden="false" customHeight="true" outlineLevel="0" collapsed="false">
      <c r="A30" s="15" t="s">
        <v>2278</v>
      </c>
      <c r="B30" s="15" t="s">
        <v>2279</v>
      </c>
      <c r="C30" s="15" t="s">
        <v>2280</v>
      </c>
      <c r="D30" s="15" t="s">
        <v>2281</v>
      </c>
      <c r="E30" s="15" t="s">
        <v>2282</v>
      </c>
      <c r="F30" s="15" t="s">
        <v>2166</v>
      </c>
      <c r="G30" s="15" t="s">
        <v>2148</v>
      </c>
      <c r="H30" s="15" t="s">
        <v>1441</v>
      </c>
      <c r="I30" s="15"/>
    </row>
    <row r="31" customFormat="false" ht="42" hidden="false" customHeight="true" outlineLevel="0" collapsed="false">
      <c r="A31" s="15" t="s">
        <v>2283</v>
      </c>
      <c r="B31" s="15" t="s">
        <v>2284</v>
      </c>
      <c r="C31" s="15" t="s">
        <v>2285</v>
      </c>
      <c r="D31" s="15" t="s">
        <v>2286</v>
      </c>
      <c r="E31" s="15" t="s">
        <v>2287</v>
      </c>
      <c r="F31" s="15" t="s">
        <v>2166</v>
      </c>
      <c r="G31" s="15" t="s">
        <v>2148</v>
      </c>
      <c r="H31" s="15" t="s">
        <v>1418</v>
      </c>
      <c r="I31" s="15"/>
    </row>
    <row r="32" customFormat="false" ht="28.5" hidden="false" customHeight="true" outlineLevel="0" collapsed="false">
      <c r="A32" s="15" t="s">
        <v>2288</v>
      </c>
      <c r="B32" s="15" t="s">
        <v>2289</v>
      </c>
      <c r="C32" s="15" t="s">
        <v>2290</v>
      </c>
      <c r="D32" s="15" t="s">
        <v>2291</v>
      </c>
      <c r="E32" s="15" t="s">
        <v>2292</v>
      </c>
      <c r="F32" s="15" t="s">
        <v>2147</v>
      </c>
      <c r="G32" s="15" t="s">
        <v>2148</v>
      </c>
      <c r="H32" s="15" t="s">
        <v>1418</v>
      </c>
      <c r="I32" s="15"/>
    </row>
    <row r="33" customFormat="false" ht="28.5" hidden="false" customHeight="true" outlineLevel="0" collapsed="false">
      <c r="A33" s="15" t="s">
        <v>2293</v>
      </c>
      <c r="B33" s="15" t="s">
        <v>2294</v>
      </c>
      <c r="C33" s="15" t="s">
        <v>2295</v>
      </c>
      <c r="D33" s="15" t="s">
        <v>2296</v>
      </c>
      <c r="E33" s="15" t="s">
        <v>2297</v>
      </c>
      <c r="F33" s="15" t="s">
        <v>2166</v>
      </c>
      <c r="G33" s="15" t="s">
        <v>2148</v>
      </c>
      <c r="H33" s="15" t="s">
        <v>1441</v>
      </c>
      <c r="I33" s="15"/>
    </row>
    <row r="34" customFormat="false" ht="28.5" hidden="false" customHeight="true" outlineLevel="0" collapsed="false">
      <c r="A34" s="15" t="s">
        <v>2298</v>
      </c>
      <c r="B34" s="15" t="s">
        <v>2299</v>
      </c>
      <c r="C34" s="15" t="s">
        <v>2300</v>
      </c>
      <c r="D34" s="15" t="s">
        <v>2301</v>
      </c>
      <c r="E34" s="15" t="s">
        <v>2302</v>
      </c>
      <c r="F34" s="15" t="s">
        <v>2147</v>
      </c>
      <c r="G34" s="15" t="s">
        <v>2148</v>
      </c>
      <c r="H34" s="15" t="s">
        <v>2149</v>
      </c>
      <c r="I34" s="15" t="s">
        <v>2303</v>
      </c>
    </row>
    <row r="35" customFormat="false" ht="28.5" hidden="false" customHeight="true" outlineLevel="0" collapsed="false">
      <c r="A35" s="15" t="s">
        <v>2304</v>
      </c>
      <c r="B35" s="15" t="s">
        <v>2305</v>
      </c>
      <c r="C35" s="15" t="s">
        <v>2306</v>
      </c>
      <c r="D35" s="15" t="s">
        <v>2307</v>
      </c>
      <c r="E35" s="15" t="s">
        <v>2308</v>
      </c>
      <c r="F35" s="15" t="s">
        <v>2309</v>
      </c>
      <c r="G35" s="15" t="s">
        <v>2148</v>
      </c>
      <c r="H35" s="15" t="s">
        <v>1441</v>
      </c>
      <c r="I35" s="15"/>
    </row>
    <row r="36" customFormat="false" ht="28.5" hidden="false" customHeight="true" outlineLevel="0" collapsed="false">
      <c r="A36" s="15" t="s">
        <v>2310</v>
      </c>
      <c r="B36" s="15" t="s">
        <v>2311</v>
      </c>
      <c r="C36" s="15" t="s">
        <v>2312</v>
      </c>
      <c r="D36" s="15" t="s">
        <v>2313</v>
      </c>
      <c r="E36" s="15" t="s">
        <v>2314</v>
      </c>
      <c r="F36" s="15" t="s">
        <v>2147</v>
      </c>
      <c r="G36" s="15" t="s">
        <v>2148</v>
      </c>
      <c r="H36" s="15" t="s">
        <v>2149</v>
      </c>
      <c r="I36" s="15"/>
    </row>
  </sheetData>
  <autoFilter ref="A4:I36"/>
  <conditionalFormatting sqref="G5:G36">
    <cfRule type="expression" priority="2" aboveAverage="0" equalAverage="0" bottom="0" percent="0" rank="0" text="" dxfId="15">
      <formula>ISNUMBER(SEARCH("Partly",G5))</formula>
    </cfRule>
    <cfRule type="expression" priority="3" aboveAverage="0" equalAverage="0" bottom="0" percent="0" rank="0" text="" dxfId="6">
      <formula>ISNUMBER(SEARCH("Yes",G5))</formula>
    </cfRule>
    <cfRule type="expression" priority="4" aboveAverage="0" equalAverage="0" bottom="0" percent="0" rank="0" text="" dxfId="26">
      <formula>ISNUMBER(SEARCH("No",G5))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CA3AF"/>
    <pageSetUpPr fitToPage="false"/>
  </sheetPr>
  <dimension ref="A1:L1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0"/>
    <col collapsed="false" customWidth="true" hidden="false" outlineLevel="0" max="4" min="3" style="0" width="24"/>
    <col collapsed="false" customWidth="true" hidden="false" outlineLevel="0" max="5" min="5" style="0" width="26"/>
    <col collapsed="false" customWidth="true" hidden="false" outlineLevel="0" max="6" min="6" style="0" width="30"/>
    <col collapsed="false" customWidth="true" hidden="false" outlineLevel="0" max="7" min="7" style="0" width="50"/>
    <col collapsed="false" customWidth="true" hidden="false" outlineLevel="0" max="8" min="8" style="0" width="70"/>
    <col collapsed="false" customWidth="true" hidden="false" outlineLevel="0" max="10" min="9" style="0" width="55"/>
    <col collapsed="false" customWidth="true" hidden="false" outlineLevel="0" max="11" min="11" style="0" width="45"/>
    <col collapsed="false" customWidth="true" hidden="false" outlineLevel="0" max="12" min="12" style="0" width="50"/>
  </cols>
  <sheetData>
    <row r="1" customFormat="false" ht="19.7" hidden="false" customHeight="false" outlineLevel="0" collapsed="false">
      <c r="A1" s="1" t="s">
        <v>2315</v>
      </c>
    </row>
    <row r="2" customFormat="false" ht="15" hidden="false" customHeight="false" outlineLevel="0" collapsed="false">
      <c r="A2" s="11" t="s">
        <v>2316</v>
      </c>
    </row>
    <row r="3" customFormat="false" ht="15" hidden="false" customHeight="false" outlineLevel="0" collapsed="false">
      <c r="A3" s="16" t="s">
        <v>2317</v>
      </c>
    </row>
    <row r="5" customFormat="false" ht="27.75" hidden="false" customHeight="true" outlineLevel="0" collapsed="false">
      <c r="A5" s="14" t="s">
        <v>2318</v>
      </c>
      <c r="B5" s="14" t="s">
        <v>2319</v>
      </c>
      <c r="C5" s="14" t="s">
        <v>2320</v>
      </c>
      <c r="D5" s="14" t="s">
        <v>2321</v>
      </c>
      <c r="E5" s="14" t="s">
        <v>2322</v>
      </c>
      <c r="F5" s="14" t="s">
        <v>2323</v>
      </c>
      <c r="G5" s="14" t="s">
        <v>2324</v>
      </c>
      <c r="H5" s="14" t="s">
        <v>2325</v>
      </c>
      <c r="I5" s="14" t="s">
        <v>2326</v>
      </c>
      <c r="J5" s="14" t="s">
        <v>2327</v>
      </c>
      <c r="K5" s="14" t="s">
        <v>2328</v>
      </c>
      <c r="L5" s="14" t="s">
        <v>2329</v>
      </c>
    </row>
    <row r="6" customFormat="false" ht="300" hidden="false" customHeight="true" outlineLevel="0" collapsed="false">
      <c r="A6" s="15" t="s">
        <v>2330</v>
      </c>
      <c r="B6" s="15" t="s">
        <v>2331</v>
      </c>
      <c r="C6" s="15" t="s">
        <v>2332</v>
      </c>
      <c r="D6" s="15" t="s">
        <v>2333</v>
      </c>
      <c r="E6" s="15" t="s">
        <v>2334</v>
      </c>
      <c r="F6" s="15" t="s">
        <v>2335</v>
      </c>
      <c r="G6" s="15" t="s">
        <v>2336</v>
      </c>
      <c r="H6" s="15" t="s">
        <v>2337</v>
      </c>
      <c r="I6" s="15" t="s">
        <v>2338</v>
      </c>
      <c r="J6" s="15" t="s">
        <v>2339</v>
      </c>
      <c r="K6" s="15" t="s">
        <v>2340</v>
      </c>
      <c r="L6" s="15" t="s">
        <v>2341</v>
      </c>
    </row>
    <row r="7" customFormat="false" ht="300" hidden="false" customHeight="true" outlineLevel="0" collapsed="false">
      <c r="A7" s="15" t="s">
        <v>2342</v>
      </c>
      <c r="B7" s="15" t="s">
        <v>2343</v>
      </c>
      <c r="C7" s="15" t="s">
        <v>2344</v>
      </c>
      <c r="D7" s="15" t="s">
        <v>2345</v>
      </c>
      <c r="E7" s="15" t="s">
        <v>2346</v>
      </c>
      <c r="F7" s="15" t="s">
        <v>2347</v>
      </c>
      <c r="G7" s="15" t="s">
        <v>2348</v>
      </c>
      <c r="H7" s="15" t="s">
        <v>2349</v>
      </c>
      <c r="I7" s="15" t="s">
        <v>2350</v>
      </c>
      <c r="J7" s="15" t="s">
        <v>2351</v>
      </c>
      <c r="K7" s="15" t="s">
        <v>2352</v>
      </c>
      <c r="L7" s="15" t="s">
        <v>2353</v>
      </c>
    </row>
    <row r="8" customFormat="false" ht="300" hidden="false" customHeight="true" outlineLevel="0" collapsed="false">
      <c r="A8" s="15" t="s">
        <v>2354</v>
      </c>
      <c r="B8" s="15" t="s">
        <v>2355</v>
      </c>
      <c r="C8" s="15" t="s">
        <v>2356</v>
      </c>
      <c r="D8" s="15" t="s">
        <v>2357</v>
      </c>
      <c r="E8" s="15" t="s">
        <v>2358</v>
      </c>
      <c r="F8" s="15" t="s">
        <v>2359</v>
      </c>
      <c r="G8" s="15" t="s">
        <v>2360</v>
      </c>
      <c r="H8" s="15" t="s">
        <v>2361</v>
      </c>
      <c r="I8" s="15" t="s">
        <v>2362</v>
      </c>
      <c r="J8" s="15" t="s">
        <v>2363</v>
      </c>
      <c r="K8" s="15" t="s">
        <v>2364</v>
      </c>
      <c r="L8" s="15" t="s">
        <v>2365</v>
      </c>
    </row>
    <row r="9" customFormat="false" ht="300" hidden="false" customHeight="true" outlineLevel="0" collapsed="false">
      <c r="A9" s="15" t="s">
        <v>2366</v>
      </c>
      <c r="B9" s="15" t="s">
        <v>2367</v>
      </c>
      <c r="C9" s="15" t="s">
        <v>2368</v>
      </c>
      <c r="D9" s="15" t="s">
        <v>2369</v>
      </c>
      <c r="E9" s="15" t="s">
        <v>2370</v>
      </c>
      <c r="F9" s="15" t="s">
        <v>2371</v>
      </c>
      <c r="G9" s="15" t="s">
        <v>2372</v>
      </c>
      <c r="H9" s="15" t="s">
        <v>2373</v>
      </c>
      <c r="I9" s="15" t="s">
        <v>2374</v>
      </c>
      <c r="J9" s="15" t="s">
        <v>2375</v>
      </c>
      <c r="K9" s="15" t="s">
        <v>2376</v>
      </c>
      <c r="L9" s="15" t="s">
        <v>2377</v>
      </c>
    </row>
    <row r="10" customFormat="false" ht="300" hidden="false" customHeight="true" outlineLevel="0" collapsed="false">
      <c r="A10" s="15" t="s">
        <v>2378</v>
      </c>
      <c r="B10" s="15" t="s">
        <v>2379</v>
      </c>
      <c r="C10" s="15" t="s">
        <v>2380</v>
      </c>
      <c r="D10" s="15" t="s">
        <v>2381</v>
      </c>
      <c r="E10" s="15" t="s">
        <v>2382</v>
      </c>
      <c r="F10" s="15" t="s">
        <v>2383</v>
      </c>
      <c r="G10" s="15" t="s">
        <v>2384</v>
      </c>
      <c r="H10" s="15" t="s">
        <v>2385</v>
      </c>
      <c r="I10" s="15" t="s">
        <v>2386</v>
      </c>
      <c r="J10" s="15" t="s">
        <v>2387</v>
      </c>
      <c r="K10" s="15" t="s">
        <v>2388</v>
      </c>
      <c r="L10" s="15" t="s">
        <v>2389</v>
      </c>
    </row>
    <row r="11" customFormat="false" ht="300" hidden="false" customHeight="true" outlineLevel="0" collapsed="false">
      <c r="A11" s="15" t="s">
        <v>2390</v>
      </c>
      <c r="B11" s="15" t="s">
        <v>2391</v>
      </c>
      <c r="C11" s="15" t="s">
        <v>2392</v>
      </c>
      <c r="D11" s="15" t="s">
        <v>2393</v>
      </c>
      <c r="E11" s="15" t="s">
        <v>2394</v>
      </c>
      <c r="F11" s="15" t="s">
        <v>2395</v>
      </c>
      <c r="G11" s="15" t="s">
        <v>2396</v>
      </c>
      <c r="H11" s="15" t="s">
        <v>2397</v>
      </c>
      <c r="I11" s="15" t="s">
        <v>2398</v>
      </c>
      <c r="J11" s="15" t="s">
        <v>2399</v>
      </c>
      <c r="K11" s="15" t="s">
        <v>2400</v>
      </c>
      <c r="L11" s="15" t="s">
        <v>2401</v>
      </c>
    </row>
    <row r="12" customFormat="false" ht="300" hidden="false" customHeight="true" outlineLevel="0" collapsed="false">
      <c r="A12" s="15" t="s">
        <v>2402</v>
      </c>
      <c r="B12" s="15" t="s">
        <v>2403</v>
      </c>
      <c r="C12" s="15" t="s">
        <v>2404</v>
      </c>
      <c r="D12" s="15" t="s">
        <v>2405</v>
      </c>
      <c r="E12" s="15" t="s">
        <v>2406</v>
      </c>
      <c r="F12" s="15" t="s">
        <v>2407</v>
      </c>
      <c r="G12" s="15" t="s">
        <v>2408</v>
      </c>
      <c r="H12" s="15" t="s">
        <v>2409</v>
      </c>
      <c r="I12" s="15" t="s">
        <v>2410</v>
      </c>
      <c r="J12" s="15" t="s">
        <v>2411</v>
      </c>
      <c r="K12" s="15" t="s">
        <v>2412</v>
      </c>
      <c r="L12" s="15" t="s">
        <v>2413</v>
      </c>
    </row>
    <row r="13" customFormat="false" ht="300" hidden="false" customHeight="true" outlineLevel="0" collapsed="false">
      <c r="A13" s="15" t="s">
        <v>2414</v>
      </c>
      <c r="B13" s="15" t="s">
        <v>2415</v>
      </c>
      <c r="C13" s="15" t="s">
        <v>2416</v>
      </c>
      <c r="D13" s="15" t="s">
        <v>2417</v>
      </c>
      <c r="E13" s="15" t="s">
        <v>2418</v>
      </c>
      <c r="F13" s="15" t="s">
        <v>2419</v>
      </c>
      <c r="G13" s="15" t="s">
        <v>2420</v>
      </c>
      <c r="H13" s="15" t="s">
        <v>2421</v>
      </c>
      <c r="I13" s="15" t="s">
        <v>2422</v>
      </c>
      <c r="J13" s="15" t="s">
        <v>2423</v>
      </c>
      <c r="K13" s="15" t="s">
        <v>2424</v>
      </c>
      <c r="L13" s="15" t="s">
        <v>2425</v>
      </c>
    </row>
    <row r="14" customFormat="false" ht="300" hidden="false" customHeight="true" outlineLevel="0" collapsed="false">
      <c r="A14" s="15" t="s">
        <v>2426</v>
      </c>
      <c r="B14" s="15" t="s">
        <v>2427</v>
      </c>
      <c r="C14" s="15" t="s">
        <v>2428</v>
      </c>
      <c r="D14" s="15" t="s">
        <v>2429</v>
      </c>
      <c r="E14" s="15" t="s">
        <v>2430</v>
      </c>
      <c r="F14" s="15" t="s">
        <v>2431</v>
      </c>
      <c r="G14" s="15" t="s">
        <v>2432</v>
      </c>
      <c r="H14" s="15" t="s">
        <v>2433</v>
      </c>
      <c r="I14" s="15" t="s">
        <v>2434</v>
      </c>
      <c r="J14" s="15" t="s">
        <v>2435</v>
      </c>
      <c r="K14" s="15" t="s">
        <v>2436</v>
      </c>
      <c r="L14" s="15" t="s">
        <v>2437</v>
      </c>
    </row>
    <row r="15" customFormat="false" ht="300" hidden="false" customHeight="true" outlineLevel="0" collapsed="false">
      <c r="A15" s="15" t="s">
        <v>2438</v>
      </c>
      <c r="B15" s="15" t="s">
        <v>2439</v>
      </c>
      <c r="C15" s="15" t="s">
        <v>2440</v>
      </c>
      <c r="D15" s="15" t="s">
        <v>2441</v>
      </c>
      <c r="E15" s="15" t="s">
        <v>2442</v>
      </c>
      <c r="F15" s="15" t="s">
        <v>2443</v>
      </c>
      <c r="G15" s="15" t="s">
        <v>2444</v>
      </c>
      <c r="H15" s="15" t="s">
        <v>2445</v>
      </c>
      <c r="I15" s="15" t="s">
        <v>2446</v>
      </c>
      <c r="J15" s="15" t="s">
        <v>2447</v>
      </c>
      <c r="K15" s="15" t="s">
        <v>2448</v>
      </c>
      <c r="L15" s="15" t="s">
        <v>2449</v>
      </c>
    </row>
  </sheetData>
  <autoFilter ref="A5:L1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CA3AF"/>
    <pageSetUpPr fitToPage="false"/>
  </sheetPr>
  <dimension ref="A1:E2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55"/>
    <col collapsed="false" customWidth="true" hidden="false" outlineLevel="0" max="3" min="3" style="0" width="12"/>
    <col collapsed="false" customWidth="true" hidden="false" outlineLevel="0" max="4" min="4" style="0" width="30"/>
    <col collapsed="false" customWidth="true" hidden="false" outlineLevel="0" max="5" min="5" style="0" width="60"/>
  </cols>
  <sheetData>
    <row r="1" customFormat="false" ht="19.7" hidden="false" customHeight="false" outlineLevel="0" collapsed="false">
      <c r="A1" s="1" t="s">
        <v>2450</v>
      </c>
    </row>
    <row r="2" customFormat="false" ht="15" hidden="false" customHeight="false" outlineLevel="0" collapsed="false">
      <c r="A2" s="11" t="s">
        <v>2451</v>
      </c>
    </row>
    <row r="3" customFormat="false" ht="15" hidden="false" customHeight="false" outlineLevel="0" collapsed="false">
      <c r="A3" s="16" t="s">
        <v>2317</v>
      </c>
    </row>
    <row r="5" customFormat="false" ht="27.75" hidden="false" customHeight="true" outlineLevel="0" collapsed="false">
      <c r="A5" s="14" t="s">
        <v>2452</v>
      </c>
      <c r="B5" s="14" t="s">
        <v>2453</v>
      </c>
      <c r="C5" s="14" t="s">
        <v>1407</v>
      </c>
      <c r="D5" s="14" t="s">
        <v>2454</v>
      </c>
      <c r="E5" s="14" t="s">
        <v>2455</v>
      </c>
    </row>
    <row r="6" customFormat="false" ht="28.5" hidden="false" customHeight="true" outlineLevel="0" collapsed="false">
      <c r="A6" s="15" t="s">
        <v>2456</v>
      </c>
      <c r="B6" s="15" t="s">
        <v>2457</v>
      </c>
      <c r="C6" s="15" t="s">
        <v>2458</v>
      </c>
      <c r="D6" s="15" t="s">
        <v>2459</v>
      </c>
      <c r="E6" s="15" t="s">
        <v>2460</v>
      </c>
    </row>
    <row r="7" customFormat="false" ht="42" hidden="false" customHeight="true" outlineLevel="0" collapsed="false">
      <c r="A7" s="15" t="s">
        <v>2461</v>
      </c>
      <c r="B7" s="15" t="s">
        <v>2462</v>
      </c>
      <c r="C7" s="15" t="s">
        <v>2463</v>
      </c>
      <c r="D7" s="15" t="s">
        <v>2414</v>
      </c>
      <c r="E7" s="15" t="s">
        <v>2464</v>
      </c>
    </row>
    <row r="8" customFormat="false" ht="28.5" hidden="false" customHeight="true" outlineLevel="0" collapsed="false">
      <c r="A8" s="15" t="s">
        <v>2465</v>
      </c>
      <c r="B8" s="15" t="s">
        <v>2466</v>
      </c>
      <c r="C8" s="15" t="s">
        <v>2458</v>
      </c>
      <c r="D8" s="15" t="s">
        <v>2467</v>
      </c>
      <c r="E8" s="15" t="s">
        <v>2468</v>
      </c>
    </row>
    <row r="9" customFormat="false" ht="28.5" hidden="false" customHeight="true" outlineLevel="0" collapsed="false">
      <c r="A9" s="15" t="s">
        <v>2469</v>
      </c>
      <c r="B9" s="15" t="s">
        <v>2470</v>
      </c>
      <c r="C9" s="15" t="s">
        <v>2463</v>
      </c>
      <c r="D9" s="15" t="s">
        <v>2471</v>
      </c>
      <c r="E9" s="15" t="s">
        <v>2472</v>
      </c>
    </row>
    <row r="10" customFormat="false" ht="28.5" hidden="false" customHeight="true" outlineLevel="0" collapsed="false">
      <c r="A10" s="15" t="s">
        <v>2473</v>
      </c>
      <c r="B10" s="15" t="s">
        <v>2474</v>
      </c>
      <c r="C10" s="15" t="s">
        <v>2475</v>
      </c>
      <c r="D10" s="15" t="s">
        <v>2476</v>
      </c>
      <c r="E10" s="15" t="s">
        <v>2477</v>
      </c>
    </row>
    <row r="11" customFormat="false" ht="28.5" hidden="false" customHeight="true" outlineLevel="0" collapsed="false">
      <c r="A11" s="15" t="s">
        <v>2478</v>
      </c>
      <c r="B11" s="15" t="s">
        <v>2479</v>
      </c>
      <c r="C11" s="15" t="s">
        <v>2475</v>
      </c>
      <c r="D11" s="15" t="s">
        <v>2480</v>
      </c>
      <c r="E11" s="15" t="s">
        <v>2481</v>
      </c>
    </row>
    <row r="12" customFormat="false" ht="28.5" hidden="false" customHeight="true" outlineLevel="0" collapsed="false">
      <c r="A12" s="15" t="s">
        <v>2482</v>
      </c>
      <c r="B12" s="15" t="s">
        <v>2483</v>
      </c>
      <c r="C12" s="15" t="s">
        <v>2475</v>
      </c>
      <c r="D12" s="15" t="s">
        <v>2414</v>
      </c>
      <c r="E12" s="15" t="s">
        <v>2484</v>
      </c>
    </row>
    <row r="13" customFormat="false" ht="28.5" hidden="false" customHeight="true" outlineLevel="0" collapsed="false">
      <c r="A13" s="15" t="s">
        <v>2485</v>
      </c>
      <c r="B13" s="15" t="s">
        <v>2486</v>
      </c>
      <c r="C13" s="15" t="s">
        <v>2458</v>
      </c>
      <c r="D13" s="15" t="s">
        <v>2487</v>
      </c>
      <c r="E13" s="15" t="s">
        <v>2488</v>
      </c>
    </row>
    <row r="14" customFormat="false" ht="28.5" hidden="false" customHeight="true" outlineLevel="0" collapsed="false">
      <c r="A14" s="15" t="s">
        <v>2489</v>
      </c>
      <c r="B14" s="15" t="s">
        <v>2490</v>
      </c>
      <c r="C14" s="15" t="s">
        <v>2463</v>
      </c>
      <c r="D14" s="15" t="s">
        <v>2491</v>
      </c>
      <c r="E14" s="15" t="s">
        <v>2492</v>
      </c>
    </row>
    <row r="15" customFormat="false" ht="15.75" hidden="false" customHeight="true" outlineLevel="0" collapsed="false">
      <c r="A15" s="15" t="s">
        <v>2493</v>
      </c>
      <c r="B15" s="15" t="s">
        <v>2494</v>
      </c>
      <c r="C15" s="15" t="s">
        <v>2463</v>
      </c>
      <c r="D15" s="15" t="s">
        <v>2495</v>
      </c>
      <c r="E15" s="15" t="s">
        <v>2496</v>
      </c>
    </row>
    <row r="16" customFormat="false" ht="28.5" hidden="false" customHeight="true" outlineLevel="0" collapsed="false">
      <c r="A16" s="15" t="s">
        <v>2497</v>
      </c>
      <c r="B16" s="15" t="s">
        <v>2498</v>
      </c>
      <c r="C16" s="15" t="s">
        <v>2475</v>
      </c>
      <c r="D16" s="15" t="s">
        <v>2495</v>
      </c>
      <c r="E16" s="15" t="s">
        <v>2499</v>
      </c>
    </row>
    <row r="17" customFormat="false" ht="28.5" hidden="false" customHeight="true" outlineLevel="0" collapsed="false">
      <c r="A17" s="15" t="s">
        <v>2500</v>
      </c>
      <c r="B17" s="15" t="s">
        <v>2501</v>
      </c>
      <c r="C17" s="15" t="s">
        <v>2463</v>
      </c>
      <c r="D17" s="15" t="s">
        <v>2502</v>
      </c>
      <c r="E17" s="15" t="s">
        <v>2503</v>
      </c>
    </row>
    <row r="18" customFormat="false" ht="28.5" hidden="false" customHeight="true" outlineLevel="0" collapsed="false">
      <c r="A18" s="15" t="s">
        <v>2504</v>
      </c>
      <c r="B18" s="15" t="s">
        <v>2505</v>
      </c>
      <c r="C18" s="15" t="s">
        <v>2475</v>
      </c>
      <c r="D18" s="15" t="s">
        <v>2506</v>
      </c>
      <c r="E18" s="15" t="s">
        <v>2507</v>
      </c>
    </row>
    <row r="19" customFormat="false" ht="28.5" hidden="false" customHeight="true" outlineLevel="0" collapsed="false">
      <c r="A19" s="15" t="s">
        <v>2508</v>
      </c>
      <c r="B19" s="15" t="s">
        <v>2509</v>
      </c>
      <c r="C19" s="15" t="s">
        <v>2475</v>
      </c>
      <c r="D19" s="15" t="s">
        <v>2510</v>
      </c>
      <c r="E19" s="15" t="s">
        <v>2511</v>
      </c>
    </row>
    <row r="20" customFormat="false" ht="15.75" hidden="false" customHeight="true" outlineLevel="0" collapsed="false">
      <c r="A20" s="15" t="s">
        <v>2512</v>
      </c>
      <c r="B20" s="15" t="s">
        <v>2513</v>
      </c>
      <c r="C20" s="15" t="s">
        <v>2475</v>
      </c>
      <c r="D20" s="15" t="s">
        <v>2514</v>
      </c>
      <c r="E20" s="15" t="s">
        <v>2515</v>
      </c>
    </row>
    <row r="21" customFormat="false" ht="28.5" hidden="false" customHeight="true" outlineLevel="0" collapsed="false">
      <c r="A21" s="15" t="s">
        <v>2516</v>
      </c>
      <c r="B21" s="15" t="s">
        <v>2517</v>
      </c>
      <c r="C21" s="15" t="s">
        <v>2463</v>
      </c>
      <c r="D21" s="15" t="s">
        <v>2518</v>
      </c>
      <c r="E21" s="15" t="s">
        <v>2519</v>
      </c>
    </row>
    <row r="22" customFormat="false" ht="15.75" hidden="false" customHeight="true" outlineLevel="0" collapsed="false">
      <c r="A22" s="15" t="s">
        <v>2520</v>
      </c>
      <c r="B22" s="15" t="s">
        <v>2521</v>
      </c>
      <c r="C22" s="15" t="s">
        <v>2475</v>
      </c>
      <c r="D22" s="15" t="s">
        <v>2402</v>
      </c>
      <c r="E22" s="15" t="s">
        <v>2522</v>
      </c>
    </row>
    <row r="23" customFormat="false" ht="28.5" hidden="false" customHeight="true" outlineLevel="0" collapsed="false">
      <c r="A23" s="15" t="s">
        <v>2523</v>
      </c>
      <c r="B23" s="15" t="s">
        <v>2524</v>
      </c>
      <c r="C23" s="15" t="s">
        <v>32</v>
      </c>
      <c r="D23" s="15" t="s">
        <v>2525</v>
      </c>
      <c r="E23" s="15" t="s">
        <v>2526</v>
      </c>
    </row>
    <row r="24" customFormat="false" ht="28.5" hidden="false" customHeight="true" outlineLevel="0" collapsed="false">
      <c r="A24" s="15" t="s">
        <v>2527</v>
      </c>
      <c r="B24" s="15" t="s">
        <v>2528</v>
      </c>
      <c r="C24" s="15" t="s">
        <v>32</v>
      </c>
      <c r="D24" s="15" t="s">
        <v>2529</v>
      </c>
      <c r="E24" s="15" t="s">
        <v>2530</v>
      </c>
    </row>
    <row r="25" customFormat="false" ht="28.5" hidden="false" customHeight="true" outlineLevel="0" collapsed="false">
      <c r="A25" s="15" t="s">
        <v>2531</v>
      </c>
      <c r="B25" s="15" t="s">
        <v>2528</v>
      </c>
      <c r="C25" s="15" t="s">
        <v>32</v>
      </c>
      <c r="D25" s="15" t="s">
        <v>2532</v>
      </c>
      <c r="E25" s="15" t="s">
        <v>2533</v>
      </c>
    </row>
    <row r="26" customFormat="false" ht="15.75" hidden="false" customHeight="true" outlineLevel="0" collapsed="false">
      <c r="A26" s="15" t="s">
        <v>2534</v>
      </c>
      <c r="B26" s="15" t="s">
        <v>2535</v>
      </c>
      <c r="C26" s="15" t="s">
        <v>32</v>
      </c>
      <c r="D26" s="15" t="s">
        <v>2536</v>
      </c>
      <c r="E26" s="15" t="s">
        <v>2537</v>
      </c>
    </row>
    <row r="27" customFormat="false" ht="15.75" hidden="false" customHeight="true" outlineLevel="0" collapsed="false">
      <c r="A27" s="15" t="s">
        <v>2538</v>
      </c>
      <c r="B27" s="15" t="s">
        <v>2539</v>
      </c>
      <c r="C27" s="15" t="s">
        <v>2463</v>
      </c>
      <c r="D27" s="15" t="s">
        <v>2540</v>
      </c>
      <c r="E27" s="15" t="s">
        <v>2541</v>
      </c>
    </row>
    <row r="28" customFormat="false" ht="28.5" hidden="false" customHeight="true" outlineLevel="0" collapsed="false">
      <c r="A28" s="15" t="s">
        <v>2542</v>
      </c>
      <c r="B28" s="15" t="s">
        <v>2543</v>
      </c>
      <c r="C28" s="15" t="s">
        <v>2475</v>
      </c>
      <c r="D28" s="15" t="s">
        <v>2544</v>
      </c>
      <c r="E28" s="15" t="s">
        <v>2545</v>
      </c>
    </row>
  </sheetData>
  <autoFilter ref="A5:E28"/>
  <conditionalFormatting sqref="C6:C28">
    <cfRule type="expression" priority="2" aboveAverage="0" equalAverage="0" bottom="0" percent="0" rank="0" text="" dxfId="6">
      <formula>ISNUMBER(SEARCH("Ahead",C6))</formula>
    </cfRule>
    <cfRule type="expression" priority="3" aboveAverage="0" equalAverage="0" bottom="0" percent="0" rank="0" text="" dxfId="17">
      <formula>ISNUMBER(SEARCH("Level",C6))</formula>
    </cfRule>
    <cfRule type="expression" priority="4" aboveAverage="0" equalAverage="0" bottom="0" percent="0" rank="0" text="" dxfId="15">
      <formula>ISNUMBER(SEARCH("Behind",C6))</formula>
    </cfRule>
    <cfRule type="expression" priority="5" aboveAverage="0" equalAverage="0" bottom="0" percent="0" rank="0" text="" dxfId="21">
      <formula>ISNUMBER(SEARCH("Missing",C6))</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CA3AF"/>
    <pageSetUpPr fitToPage="false"/>
  </sheetPr>
  <dimension ref="A1:E3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6"/>
    <col collapsed="false" customWidth="true" hidden="false" outlineLevel="0" max="3" min="3" style="0" width="34"/>
    <col collapsed="false" customWidth="true" hidden="false" outlineLevel="0" max="4" min="4" style="0" width="100"/>
    <col collapsed="false" customWidth="true" hidden="false" outlineLevel="0" max="5" min="5" style="0" width="8"/>
  </cols>
  <sheetData>
    <row r="1" customFormat="false" ht="19.7" hidden="false" customHeight="false" outlineLevel="0" collapsed="false">
      <c r="A1" s="1" t="s">
        <v>2546</v>
      </c>
    </row>
    <row r="2" customFormat="false" ht="15" hidden="false" customHeight="false" outlineLevel="0" collapsed="false">
      <c r="A2" s="11" t="s">
        <v>2547</v>
      </c>
    </row>
    <row r="3" customFormat="false" ht="15" hidden="false" customHeight="false" outlineLevel="0" collapsed="false">
      <c r="A3" s="16" t="s">
        <v>2317</v>
      </c>
    </row>
    <row r="5" customFormat="false" ht="27.75" hidden="false" customHeight="true" outlineLevel="0" collapsed="false">
      <c r="A5" s="14" t="s">
        <v>2133</v>
      </c>
      <c r="B5" s="14" t="s">
        <v>2548</v>
      </c>
      <c r="C5" s="14" t="s">
        <v>2549</v>
      </c>
      <c r="D5" s="14" t="s">
        <v>2550</v>
      </c>
      <c r="E5" s="14" t="s">
        <v>2551</v>
      </c>
    </row>
    <row r="6" customFormat="false" ht="54.75" hidden="false" customHeight="true" outlineLevel="0" collapsed="false">
      <c r="A6" s="15" t="n">
        <v>1</v>
      </c>
      <c r="B6" s="15" t="s">
        <v>2552</v>
      </c>
      <c r="C6" s="15" t="s">
        <v>2553</v>
      </c>
      <c r="D6" s="15" t="s">
        <v>2554</v>
      </c>
      <c r="E6" s="15" t="s">
        <v>2309</v>
      </c>
    </row>
    <row r="7" customFormat="false" ht="54.75" hidden="false" customHeight="true" outlineLevel="0" collapsed="false">
      <c r="A7" s="15" t="n">
        <v>2</v>
      </c>
      <c r="B7" s="15" t="s">
        <v>2555</v>
      </c>
      <c r="C7" s="15" t="s">
        <v>2556</v>
      </c>
      <c r="D7" s="15" t="s">
        <v>2557</v>
      </c>
      <c r="E7" s="15" t="s">
        <v>2166</v>
      </c>
    </row>
    <row r="8" customFormat="false" ht="54.75" hidden="false" customHeight="true" outlineLevel="0" collapsed="false">
      <c r="A8" s="15" t="n">
        <v>3</v>
      </c>
      <c r="B8" s="15" t="s">
        <v>2558</v>
      </c>
      <c r="C8" s="15" t="s">
        <v>2559</v>
      </c>
      <c r="D8" s="15" t="s">
        <v>2560</v>
      </c>
      <c r="E8" s="15" t="s">
        <v>2147</v>
      </c>
    </row>
    <row r="9" customFormat="false" ht="42" hidden="false" customHeight="true" outlineLevel="0" collapsed="false">
      <c r="A9" s="15" t="n">
        <v>4</v>
      </c>
      <c r="B9" s="15" t="s">
        <v>2561</v>
      </c>
      <c r="C9" s="15" t="s">
        <v>2562</v>
      </c>
      <c r="D9" s="15" t="s">
        <v>2563</v>
      </c>
      <c r="E9" s="15" t="s">
        <v>2309</v>
      </c>
    </row>
    <row r="10" customFormat="false" ht="42" hidden="false" customHeight="true" outlineLevel="0" collapsed="false">
      <c r="A10" s="15" t="n">
        <v>5</v>
      </c>
      <c r="B10" s="15" t="s">
        <v>2564</v>
      </c>
      <c r="C10" s="15" t="s">
        <v>2565</v>
      </c>
      <c r="D10" s="15" t="s">
        <v>2566</v>
      </c>
      <c r="E10" s="15" t="s">
        <v>2166</v>
      </c>
    </row>
    <row r="11" customFormat="false" ht="42" hidden="false" customHeight="true" outlineLevel="0" collapsed="false">
      <c r="A11" s="15" t="n">
        <v>6</v>
      </c>
      <c r="B11" s="15" t="s">
        <v>2567</v>
      </c>
      <c r="C11" s="15" t="s">
        <v>2568</v>
      </c>
      <c r="D11" s="15" t="s">
        <v>2569</v>
      </c>
      <c r="E11" s="15" t="s">
        <v>2166</v>
      </c>
    </row>
    <row r="12" customFormat="false" ht="42" hidden="false" customHeight="true" outlineLevel="0" collapsed="false">
      <c r="A12" s="15" t="n">
        <v>7</v>
      </c>
      <c r="B12" s="15" t="s">
        <v>2570</v>
      </c>
      <c r="C12" s="15" t="s">
        <v>2571</v>
      </c>
      <c r="D12" s="15" t="s">
        <v>2572</v>
      </c>
      <c r="E12" s="15" t="s">
        <v>2166</v>
      </c>
    </row>
    <row r="13" customFormat="false" ht="42" hidden="false" customHeight="true" outlineLevel="0" collapsed="false">
      <c r="A13" s="15" t="n">
        <v>8</v>
      </c>
      <c r="B13" s="15" t="s">
        <v>2573</v>
      </c>
      <c r="C13" s="15" t="s">
        <v>2574</v>
      </c>
      <c r="D13" s="15" t="s">
        <v>2575</v>
      </c>
      <c r="E13" s="15" t="s">
        <v>2166</v>
      </c>
    </row>
    <row r="14" customFormat="false" ht="28.5" hidden="false" customHeight="true" outlineLevel="0" collapsed="false">
      <c r="A14" s="15" t="n">
        <v>9</v>
      </c>
      <c r="B14" s="15" t="s">
        <v>2576</v>
      </c>
      <c r="C14" s="15" t="s">
        <v>2577</v>
      </c>
      <c r="D14" s="15" t="s">
        <v>2578</v>
      </c>
      <c r="E14" s="15" t="s">
        <v>2147</v>
      </c>
    </row>
    <row r="15" customFormat="false" ht="42" hidden="false" customHeight="true" outlineLevel="0" collapsed="false">
      <c r="A15" s="15" t="n">
        <v>10</v>
      </c>
      <c r="B15" s="15" t="s">
        <v>2579</v>
      </c>
      <c r="C15" s="15" t="s">
        <v>2580</v>
      </c>
      <c r="D15" s="15" t="s">
        <v>2581</v>
      </c>
      <c r="E15" s="15" t="s">
        <v>2166</v>
      </c>
    </row>
    <row r="16" customFormat="false" ht="42" hidden="false" customHeight="true" outlineLevel="0" collapsed="false">
      <c r="A16" s="15" t="n">
        <v>11</v>
      </c>
      <c r="B16" s="15" t="s">
        <v>2582</v>
      </c>
      <c r="C16" s="15" t="s">
        <v>2583</v>
      </c>
      <c r="D16" s="15" t="s">
        <v>2584</v>
      </c>
      <c r="E16" s="15" t="s">
        <v>2147</v>
      </c>
    </row>
    <row r="17" customFormat="false" ht="42" hidden="false" customHeight="true" outlineLevel="0" collapsed="false">
      <c r="A17" s="15" t="n">
        <v>12</v>
      </c>
      <c r="B17" s="15" t="s">
        <v>2585</v>
      </c>
      <c r="C17" s="15" t="s">
        <v>2586</v>
      </c>
      <c r="D17" s="15" t="s">
        <v>2587</v>
      </c>
      <c r="E17" s="15" t="s">
        <v>2147</v>
      </c>
    </row>
    <row r="18" customFormat="false" ht="42" hidden="false" customHeight="true" outlineLevel="0" collapsed="false">
      <c r="A18" s="15" t="n">
        <v>13</v>
      </c>
      <c r="B18" s="15" t="s">
        <v>2588</v>
      </c>
      <c r="C18" s="15" t="s">
        <v>2589</v>
      </c>
      <c r="D18" s="15" t="s">
        <v>2590</v>
      </c>
      <c r="E18" s="15" t="s">
        <v>2166</v>
      </c>
    </row>
    <row r="19" customFormat="false" ht="42" hidden="false" customHeight="true" outlineLevel="0" collapsed="false">
      <c r="A19" s="15" t="n">
        <v>14</v>
      </c>
      <c r="B19" s="15" t="s">
        <v>2591</v>
      </c>
      <c r="C19" s="15" t="s">
        <v>2592</v>
      </c>
      <c r="D19" s="15" t="s">
        <v>2593</v>
      </c>
      <c r="E19" s="15" t="s">
        <v>2147</v>
      </c>
    </row>
    <row r="20" customFormat="false" ht="28.5" hidden="false" customHeight="true" outlineLevel="0" collapsed="false">
      <c r="A20" s="15" t="n">
        <v>15</v>
      </c>
      <c r="B20" s="15" t="s">
        <v>2594</v>
      </c>
      <c r="C20" s="15" t="s">
        <v>2595</v>
      </c>
      <c r="D20" s="15" t="s">
        <v>2596</v>
      </c>
      <c r="E20" s="15" t="s">
        <v>2166</v>
      </c>
    </row>
    <row r="21" customFormat="false" ht="28.5" hidden="false" customHeight="true" outlineLevel="0" collapsed="false">
      <c r="A21" s="15" t="n">
        <v>16</v>
      </c>
      <c r="B21" s="15" t="s">
        <v>2597</v>
      </c>
      <c r="C21" s="15" t="s">
        <v>2598</v>
      </c>
      <c r="D21" s="15" t="s">
        <v>2599</v>
      </c>
      <c r="E21" s="15" t="s">
        <v>2166</v>
      </c>
    </row>
    <row r="22" customFormat="false" ht="42" hidden="false" customHeight="true" outlineLevel="0" collapsed="false">
      <c r="A22" s="15" t="n">
        <v>17</v>
      </c>
      <c r="B22" s="15" t="s">
        <v>2600</v>
      </c>
      <c r="C22" s="15" t="s">
        <v>2414</v>
      </c>
      <c r="D22" s="15" t="s">
        <v>2601</v>
      </c>
      <c r="E22" s="15" t="s">
        <v>2166</v>
      </c>
    </row>
    <row r="23" customFormat="false" ht="42" hidden="false" customHeight="true" outlineLevel="0" collapsed="false">
      <c r="A23" s="15" t="n">
        <v>18</v>
      </c>
      <c r="B23" s="15" t="s">
        <v>2602</v>
      </c>
      <c r="C23" s="15" t="s">
        <v>2603</v>
      </c>
      <c r="D23" s="15" t="s">
        <v>2604</v>
      </c>
      <c r="E23" s="15" t="s">
        <v>2147</v>
      </c>
    </row>
    <row r="24" customFormat="false" ht="42" hidden="false" customHeight="true" outlineLevel="0" collapsed="false">
      <c r="A24" s="15" t="n">
        <v>19</v>
      </c>
      <c r="B24" s="15" t="s">
        <v>2605</v>
      </c>
      <c r="C24" s="15" t="s">
        <v>2606</v>
      </c>
      <c r="D24" s="15" t="s">
        <v>2607</v>
      </c>
      <c r="E24" s="15" t="s">
        <v>2166</v>
      </c>
    </row>
    <row r="25" customFormat="false" ht="28.5" hidden="false" customHeight="true" outlineLevel="0" collapsed="false">
      <c r="A25" s="15" t="n">
        <v>20</v>
      </c>
      <c r="B25" s="15" t="s">
        <v>2608</v>
      </c>
      <c r="C25" s="15" t="s">
        <v>2609</v>
      </c>
      <c r="D25" s="15" t="s">
        <v>2610</v>
      </c>
      <c r="E25" s="15" t="s">
        <v>2147</v>
      </c>
    </row>
    <row r="26" customFormat="false" ht="42" hidden="false" customHeight="true" outlineLevel="0" collapsed="false">
      <c r="A26" s="15" t="n">
        <v>21</v>
      </c>
      <c r="B26" s="15" t="s">
        <v>2611</v>
      </c>
      <c r="C26" s="15" t="s">
        <v>2612</v>
      </c>
      <c r="D26" s="15" t="s">
        <v>2613</v>
      </c>
      <c r="E26" s="15" t="s">
        <v>2166</v>
      </c>
    </row>
    <row r="27" customFormat="false" ht="42" hidden="false" customHeight="true" outlineLevel="0" collapsed="false">
      <c r="A27" s="15" t="n">
        <v>22</v>
      </c>
      <c r="B27" s="15" t="s">
        <v>2614</v>
      </c>
      <c r="C27" s="15" t="s">
        <v>2615</v>
      </c>
      <c r="D27" s="15" t="s">
        <v>2616</v>
      </c>
      <c r="E27" s="15" t="s">
        <v>2147</v>
      </c>
    </row>
    <row r="28" customFormat="false" ht="42" hidden="false" customHeight="true" outlineLevel="0" collapsed="false">
      <c r="A28" s="15" t="n">
        <v>23</v>
      </c>
      <c r="B28" s="15" t="s">
        <v>2617</v>
      </c>
      <c r="C28" s="15" t="s">
        <v>2618</v>
      </c>
      <c r="D28" s="15" t="s">
        <v>2619</v>
      </c>
      <c r="E28" s="15" t="s">
        <v>2166</v>
      </c>
    </row>
    <row r="29" customFormat="false" ht="42" hidden="false" customHeight="true" outlineLevel="0" collapsed="false">
      <c r="A29" s="15" t="n">
        <v>24</v>
      </c>
      <c r="B29" s="15" t="s">
        <v>2620</v>
      </c>
      <c r="C29" s="15" t="s">
        <v>2621</v>
      </c>
      <c r="D29" s="15" t="s">
        <v>2622</v>
      </c>
      <c r="E29" s="15" t="s">
        <v>2166</v>
      </c>
    </row>
    <row r="30" customFormat="false" ht="42" hidden="false" customHeight="true" outlineLevel="0" collapsed="false">
      <c r="A30" s="15" t="n">
        <v>25</v>
      </c>
      <c r="B30" s="15" t="s">
        <v>2623</v>
      </c>
      <c r="C30" s="15" t="s">
        <v>2624</v>
      </c>
      <c r="D30" s="15" t="s">
        <v>2625</v>
      </c>
      <c r="E30" s="15" t="s">
        <v>2147</v>
      </c>
    </row>
  </sheetData>
  <autoFilter ref="A5:E3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59E0B"/>
    <pageSetUpPr fitToPage="false"/>
  </sheetPr>
  <dimension ref="A1:G1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6"/>
    <col collapsed="false" customWidth="true" hidden="false" outlineLevel="0" max="3" min="3" style="0" width="60"/>
    <col collapsed="false" customWidth="true" hidden="false" outlineLevel="0" max="4" min="4" style="0" width="26"/>
    <col collapsed="false" customWidth="true" hidden="false" outlineLevel="0" max="5" min="5" style="0" width="50"/>
    <col collapsed="false" customWidth="true" hidden="false" outlineLevel="0" max="6" min="6" style="0" width="13"/>
    <col collapsed="false" customWidth="true" hidden="false" outlineLevel="0" max="7" min="7" style="0" width="50"/>
  </cols>
  <sheetData>
    <row r="1" customFormat="false" ht="19.7" hidden="false" customHeight="false" outlineLevel="0" collapsed="false">
      <c r="A1" s="1" t="s">
        <v>2626</v>
      </c>
    </row>
    <row r="2" customFormat="false" ht="15" hidden="false" customHeight="false" outlineLevel="0" collapsed="false">
      <c r="A2" s="11" t="s">
        <v>2627</v>
      </c>
    </row>
    <row r="3" customFormat="false" ht="15" hidden="false" customHeight="false" outlineLevel="0" collapsed="false">
      <c r="A3" s="16" t="s">
        <v>2317</v>
      </c>
    </row>
    <row r="5" customFormat="false" ht="27.75" hidden="false" customHeight="true" outlineLevel="0" collapsed="false">
      <c r="A5" s="14" t="s">
        <v>2628</v>
      </c>
      <c r="B5" s="14" t="s">
        <v>2629</v>
      </c>
      <c r="C5" s="14" t="s">
        <v>2630</v>
      </c>
      <c r="D5" s="14" t="s">
        <v>1406</v>
      </c>
      <c r="E5" s="14" t="s">
        <v>2631</v>
      </c>
      <c r="F5" s="14" t="s">
        <v>2632</v>
      </c>
      <c r="G5" s="14" t="s">
        <v>2633</v>
      </c>
    </row>
    <row r="6" customFormat="false" ht="42" hidden="false" customHeight="true" outlineLevel="0" collapsed="false">
      <c r="A6" s="15" t="n">
        <v>1</v>
      </c>
      <c r="B6" s="15" t="s">
        <v>2634</v>
      </c>
      <c r="C6" s="15" t="s">
        <v>2635</v>
      </c>
      <c r="D6" s="15" t="s">
        <v>2636</v>
      </c>
      <c r="E6" s="15" t="s">
        <v>2637</v>
      </c>
      <c r="F6" s="15" t="s">
        <v>2638</v>
      </c>
      <c r="G6" s="15" t="s">
        <v>2639</v>
      </c>
    </row>
    <row r="7" customFormat="false" ht="42" hidden="false" customHeight="true" outlineLevel="0" collapsed="false">
      <c r="A7" s="15" t="n">
        <v>1</v>
      </c>
      <c r="B7" s="15" t="s">
        <v>2634</v>
      </c>
      <c r="C7" s="15" t="s">
        <v>2640</v>
      </c>
      <c r="D7" s="15" t="s">
        <v>2641</v>
      </c>
      <c r="E7" s="15" t="s">
        <v>2642</v>
      </c>
      <c r="F7" s="15" t="s">
        <v>2638</v>
      </c>
      <c r="G7" s="15" t="s">
        <v>2643</v>
      </c>
    </row>
    <row r="8" customFormat="false" ht="28.5" hidden="false" customHeight="true" outlineLevel="0" collapsed="false">
      <c r="A8" s="15" t="n">
        <v>1</v>
      </c>
      <c r="B8" s="15" t="s">
        <v>2634</v>
      </c>
      <c r="C8" s="15" t="s">
        <v>2644</v>
      </c>
      <c r="D8" s="15" t="s">
        <v>1444</v>
      </c>
      <c r="E8" s="15" t="s">
        <v>2645</v>
      </c>
      <c r="F8" s="15" t="s">
        <v>2646</v>
      </c>
      <c r="G8" s="15" t="s">
        <v>2647</v>
      </c>
    </row>
    <row r="9" customFormat="false" ht="28.5" hidden="false" customHeight="true" outlineLevel="0" collapsed="false">
      <c r="A9" s="15" t="n">
        <v>1</v>
      </c>
      <c r="B9" s="15" t="s">
        <v>2648</v>
      </c>
      <c r="C9" s="15" t="s">
        <v>2649</v>
      </c>
      <c r="D9" s="15" t="s">
        <v>2650</v>
      </c>
      <c r="E9" s="15" t="s">
        <v>2651</v>
      </c>
      <c r="F9" s="15" t="s">
        <v>2652</v>
      </c>
      <c r="G9" s="15" t="s">
        <v>2653</v>
      </c>
    </row>
    <row r="10" customFormat="false" ht="28.5" hidden="false" customHeight="true" outlineLevel="0" collapsed="false">
      <c r="A10" s="15" t="n">
        <v>1</v>
      </c>
      <c r="B10" s="15" t="s">
        <v>2648</v>
      </c>
      <c r="C10" s="15" t="s">
        <v>2654</v>
      </c>
      <c r="D10" s="15" t="s">
        <v>2655</v>
      </c>
      <c r="E10" s="15" t="s">
        <v>2656</v>
      </c>
      <c r="F10" s="15" t="s">
        <v>2265</v>
      </c>
      <c r="G10" s="15" t="s">
        <v>2657</v>
      </c>
    </row>
    <row r="11" customFormat="false" ht="42" hidden="false" customHeight="true" outlineLevel="0" collapsed="false">
      <c r="A11" s="15" t="n">
        <v>1</v>
      </c>
      <c r="B11" s="15" t="s">
        <v>2648</v>
      </c>
      <c r="C11" s="15" t="s">
        <v>2658</v>
      </c>
      <c r="D11" s="15" t="s">
        <v>2659</v>
      </c>
      <c r="E11" s="15" t="s">
        <v>2660</v>
      </c>
      <c r="F11" s="15" t="s">
        <v>2638</v>
      </c>
      <c r="G11" s="15" t="s">
        <v>2661</v>
      </c>
    </row>
    <row r="12" customFormat="false" ht="28.5" hidden="false" customHeight="true" outlineLevel="0" collapsed="false">
      <c r="A12" s="15" t="n">
        <v>2</v>
      </c>
      <c r="B12" s="15" t="s">
        <v>2662</v>
      </c>
      <c r="C12" s="15" t="s">
        <v>2663</v>
      </c>
      <c r="D12" s="15" t="s">
        <v>2664</v>
      </c>
      <c r="E12" s="15" t="s">
        <v>2665</v>
      </c>
      <c r="F12" s="15" t="s">
        <v>1489</v>
      </c>
      <c r="G12" s="15" t="s">
        <v>2666</v>
      </c>
    </row>
    <row r="13" customFormat="false" ht="42" hidden="false" customHeight="true" outlineLevel="0" collapsed="false">
      <c r="A13" s="15" t="n">
        <v>2</v>
      </c>
      <c r="B13" s="15" t="s">
        <v>2662</v>
      </c>
      <c r="C13" s="15" t="s">
        <v>2667</v>
      </c>
      <c r="D13" s="15" t="s">
        <v>2668</v>
      </c>
      <c r="E13" s="15" t="s">
        <v>2669</v>
      </c>
      <c r="F13" s="15" t="s">
        <v>2265</v>
      </c>
      <c r="G13" s="15" t="s">
        <v>2670</v>
      </c>
    </row>
    <row r="14" customFormat="false" ht="15.75" hidden="false" customHeight="true" outlineLevel="0" collapsed="false">
      <c r="A14" s="15" t="n">
        <v>2</v>
      </c>
      <c r="B14" s="15" t="s">
        <v>2662</v>
      </c>
      <c r="C14" s="15" t="s">
        <v>2671</v>
      </c>
      <c r="D14" s="15" t="s">
        <v>2182</v>
      </c>
      <c r="E14" s="15" t="s">
        <v>2672</v>
      </c>
      <c r="F14" s="15" t="s">
        <v>2652</v>
      </c>
      <c r="G14" s="15"/>
    </row>
    <row r="15" customFormat="false" ht="15.75" hidden="false" customHeight="true" outlineLevel="0" collapsed="false">
      <c r="A15" s="15" t="n">
        <v>2</v>
      </c>
      <c r="B15" s="15" t="s">
        <v>2662</v>
      </c>
      <c r="C15" s="15" t="s">
        <v>2673</v>
      </c>
      <c r="D15" s="15" t="s">
        <v>2674</v>
      </c>
      <c r="E15" s="15" t="s">
        <v>2675</v>
      </c>
      <c r="F15" s="15" t="s">
        <v>2652</v>
      </c>
      <c r="G15" s="15"/>
    </row>
    <row r="16" customFormat="false" ht="15.75" hidden="false" customHeight="true" outlineLevel="0" collapsed="false">
      <c r="A16" s="15" t="n">
        <v>3</v>
      </c>
      <c r="B16" s="15" t="s">
        <v>2676</v>
      </c>
      <c r="C16" s="15" t="s">
        <v>2677</v>
      </c>
      <c r="D16" s="15" t="s">
        <v>2678</v>
      </c>
      <c r="E16" s="15" t="s">
        <v>2679</v>
      </c>
      <c r="F16" s="15" t="s">
        <v>2652</v>
      </c>
      <c r="G16" s="15"/>
    </row>
    <row r="17" customFormat="false" ht="15.75" hidden="false" customHeight="true" outlineLevel="0" collapsed="false">
      <c r="A17" s="15" t="n">
        <v>3</v>
      </c>
      <c r="B17" s="15" t="s">
        <v>2676</v>
      </c>
      <c r="C17" s="15" t="s">
        <v>2680</v>
      </c>
      <c r="D17" s="15" t="s">
        <v>2681</v>
      </c>
      <c r="E17" s="15" t="s">
        <v>2682</v>
      </c>
      <c r="F17" s="15" t="s">
        <v>2652</v>
      </c>
      <c r="G17" s="15"/>
    </row>
    <row r="18" customFormat="false" ht="28.5" hidden="false" customHeight="true" outlineLevel="0" collapsed="false">
      <c r="A18" s="15" t="n">
        <v>3</v>
      </c>
      <c r="B18" s="15" t="s">
        <v>2676</v>
      </c>
      <c r="C18" s="15" t="s">
        <v>2683</v>
      </c>
      <c r="D18" s="15" t="s">
        <v>2684</v>
      </c>
      <c r="E18" s="15" t="s">
        <v>2685</v>
      </c>
      <c r="F18" s="15" t="s">
        <v>2265</v>
      </c>
      <c r="G18" s="15" t="s">
        <v>2686</v>
      </c>
    </row>
  </sheetData>
  <autoFilter ref="A5:G18"/>
  <conditionalFormatting sqref="F6:F18">
    <cfRule type="expression" priority="2" aboveAverage="0" equalAverage="0" bottom="0" percent="0" rank="0" text="" dxfId="28">
      <formula>ISNUMBER(SEARCH("Mostly",F6))</formula>
    </cfRule>
    <cfRule type="expression" priority="3" aboveAverage="0" equalAverage="0" bottom="0" percent="0" rank="0" text="" dxfId="6">
      <formula>ISNUMBER(SEARCH("Done",F6))</formula>
    </cfRule>
    <cfRule type="expression" priority="4" aboveAverage="0" equalAverage="0" bottom="0" percent="0" rank="0" text="" dxfId="15">
      <formula>ISNUMBER(SEARCH("Partly",F6))</formula>
    </cfRule>
    <cfRule type="expression" priority="5" aboveAverage="0" equalAverage="0" bottom="0" percent="0" rank="0" text="" dxfId="18">
      <formula>ISNUMBER(SEARCH("Later",F6))</formula>
    </cfRule>
    <cfRule type="expression" priority="6" aboveAverage="0" equalAverage="0" bottom="0" percent="0" rank="0" text="" dxfId="26">
      <formula>ISNUMBER(SEARCH("Not started",F6))</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2026-10-27T08:10:10Z</dcterms:created>
  <dc:creator>openpyxl</dc:creator>
  <dc:description/>
  <dc:language>en-US</dc:language>
  <cp:lastModifiedBy/>
  <dcterms:modified xsi:type="dcterms:W3CDTF">2026-10-27T08:10:11Z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